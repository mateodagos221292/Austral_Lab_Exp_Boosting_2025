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IGNAS" sheetId="1" r:id="rId4"/>
    <sheet state="visible" name="RESULTADOS" sheetId="2" r:id="rId5"/>
    <sheet state="visible" name="Wilcoxon" sheetId="3" r:id="rId6"/>
    <sheet state="visible" name="Data Nestor" sheetId="4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<sst xmlns="http://schemas.openxmlformats.org/spreadsheetml/2006/main" count="262" uniqueCount="55">
  <si>
    <t>CAMBIAMOS EL PARAMETRO DE BOOOSTING</t>
  </si>
  <si>
    <t>Probar los distintos métodos de BOOSTING del LightGBM (gbdt o rf o dart)</t>
  </si>
  <si>
    <t>Ojo con Random Forest que integra otros cambios</t>
  </si>
  <si>
    <t>GRUPO A  no mete cambios de fecha</t>
  </si>
  <si>
    <t>GRUPO B cambia fechas, mirar como se implemtan cambio en workflow_01_junior_Julio como Ejemplo</t>
  </si>
  <si>
    <t>Podemos Correr un método de boosting  por maquina virtual</t>
  </si>
  <si>
    <t>Tambien Gustavo dijo que el resto queda igual, solo cambiar el Boosting y en caso de B , el periodo (2021/07)</t>
  </si>
  <si>
    <t>y creo que cada uno prueba sus semillas, de esa manera genramos mas resultado</t>
  </si>
  <si>
    <t>GRUPO A  si ve en Kaggle LOS RESULTADOS</t>
  </si>
  <si>
    <t>GRUPO B NO mira los resultados en Kaggle, sino que directo en Notebook</t>
  </si>
  <si>
    <t>En la Pagina 52 del libro de la catedra esta la info del experimento colaborativo</t>
  </si>
  <si>
    <r>
      <rPr/>
      <t xml:space="preserve">Libro: </t>
    </r>
    <r>
      <rPr>
        <color rgb="FF1155CC"/>
        <u/>
      </rPr>
      <t>https://storage.googleapis.com/open-courses/austral2025-af91/labo1v/Austral_labo2025v.pdf</t>
    </r>
  </si>
  <si>
    <t>Prueba de corrida método Wilcoxon</t>
  </si>
  <si>
    <t>Estudiante</t>
  </si>
  <si>
    <t>Grupo</t>
  </si>
  <si>
    <t>Método</t>
  </si>
  <si>
    <t>Semilla</t>
  </si>
  <si>
    <t>Ganancia</t>
  </si>
  <si>
    <t>Tiempo (hr)</t>
  </si>
  <si>
    <t>Ganancia Promedio</t>
  </si>
  <si>
    <t>Tiempo Promedio (hr)</t>
  </si>
  <si>
    <t>Diego Carabajal</t>
  </si>
  <si>
    <t>B</t>
  </si>
  <si>
    <t>DART</t>
  </si>
  <si>
    <t>Boosting Metodo</t>
  </si>
  <si>
    <t>Grupo B</t>
  </si>
  <si>
    <t>Random Forest</t>
  </si>
  <si>
    <t>GBDT</t>
  </si>
  <si>
    <t>Grupo A</t>
  </si>
  <si>
    <t>Ganacia Promedio</t>
  </si>
  <si>
    <t>Mateo Dagostino</t>
  </si>
  <si>
    <t>Nestor Paniagua</t>
  </si>
  <si>
    <t>A</t>
  </si>
  <si>
    <t>TEST WILCOXON - GRUPO A</t>
  </si>
  <si>
    <t>Boosting (P-Value)</t>
  </si>
  <si>
    <t>RF</t>
  </si>
  <si>
    <t>TEST WILCOXON - GRUPO B</t>
  </si>
  <si>
    <t>archivo</t>
  </si>
  <si>
    <t>envio</t>
  </si>
  <si>
    <t>semilla</t>
  </si>
  <si>
    <t>boosting</t>
  </si>
  <si>
    <t>kaggle</t>
  </si>
  <si>
    <t>KA9500_s5_12000.csv</t>
  </si>
  <si>
    <t>rf</t>
  </si>
  <si>
    <t>KA9500_s5_11500.csv</t>
  </si>
  <si>
    <t>MAX de Ganancia</t>
  </si>
  <si>
    <t>KA9500_s5_11000.csv</t>
  </si>
  <si>
    <t>dart</t>
  </si>
  <si>
    <t>KA9500_s5_10500.csv</t>
  </si>
  <si>
    <t>KA9500_s5_10000.csv</t>
  </si>
  <si>
    <t>Total dart</t>
  </si>
  <si>
    <t>gbdt</t>
  </si>
  <si>
    <t>Total gbdt</t>
  </si>
  <si>
    <t>Total rf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</si>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</sst>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/>
    <font>
      <b/>
      <sz val="12.0"/>
      <color theme="1"/>
      <name val="Arial"/>
    </font>
    <font>
      <b/>
      <color theme="1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B7E1CD"/>
        <bgColor rgb="FFB7E1CD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FFD666"/>
        <bgColor rgb="FFFFD666"/>
      </patternFill>
    </fill>
    <fill>
      <patternFill patternType="solid">
        <fgColor rgb="FF57BB8A"/>
        <bgColor rgb="FF57BB8A"/>
      </patternFill>
    </fill>
    <fill>
      <patternFill patternType="solid">
        <fgColor rgb="FFE67C73"/>
        <bgColor rgb="FFE67C73"/>
      </patternFill>
    </fill>
    <fill>
      <patternFill patternType="solid">
        <fgColor rgb="FF999999"/>
        <bgColor rgb="FF99999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4" xfId="0" applyFont="1" applyNumberFormat="1"/>
    <xf borderId="1" fillId="2" fontId="1" numFmtId="0" xfId="0" applyAlignment="1" applyBorder="1" applyFill="1" applyFont="1">
      <alignment horizontal="center" readingOrder="0"/>
    </xf>
    <xf borderId="1" fillId="2" fontId="1" numFmtId="4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horizontal="center" readingOrder="0"/>
    </xf>
    <xf borderId="1" fillId="3" fontId="2" numFmtId="3" xfId="0" applyAlignment="1" applyBorder="1" applyFont="1" applyNumberFormat="1">
      <alignment readingOrder="0"/>
    </xf>
    <xf borderId="1" fillId="3" fontId="1" numFmtId="4" xfId="0" applyAlignment="1" applyBorder="1" applyFont="1" applyNumberFormat="1">
      <alignment horizontal="center" readingOrder="0" vertical="center"/>
    </xf>
    <xf borderId="2" fillId="3" fontId="1" numFmtId="3" xfId="0" applyAlignment="1" applyBorder="1" applyFont="1" applyNumberFormat="1">
      <alignment horizontal="center" readingOrder="0" vertical="center"/>
    </xf>
    <xf borderId="3" fillId="0" fontId="4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3" xfId="0" applyAlignment="1" applyBorder="1" applyFont="1" applyNumberFormat="1">
      <alignment horizontal="center" readingOrder="0"/>
    </xf>
    <xf borderId="1" fillId="0" fontId="2" numFmtId="4" xfId="0" applyAlignment="1" applyBorder="1" applyFont="1" applyNumberFormat="1">
      <alignment horizontal="center" readingOrder="0"/>
    </xf>
    <xf borderId="1" fillId="0" fontId="2" numFmtId="3" xfId="0" applyAlignment="1" applyBorder="1" applyFont="1" applyNumberFormat="1">
      <alignment horizontal="center"/>
    </xf>
    <xf borderId="1" fillId="0" fontId="2" numFmtId="4" xfId="0" applyAlignment="1" applyBorder="1" applyFont="1" applyNumberFormat="1">
      <alignment horizontal="center"/>
    </xf>
    <xf borderId="4" fillId="0" fontId="4" numFmtId="0" xfId="0" applyBorder="1" applyFont="1"/>
    <xf borderId="2" fillId="4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ont="1">
      <alignment horizontal="center" readingOrder="0"/>
    </xf>
    <xf borderId="1" fillId="4" fontId="2" numFmtId="3" xfId="0" applyAlignment="1" applyBorder="1" applyFont="1" applyNumberFormat="1">
      <alignment readingOrder="0"/>
    </xf>
    <xf borderId="1" fillId="4" fontId="1" numFmtId="4" xfId="0" applyAlignment="1" applyBorder="1" applyFont="1" applyNumberFormat="1">
      <alignment horizontal="center" readingOrder="0" vertical="center"/>
    </xf>
    <xf borderId="2" fillId="4" fontId="1" numFmtId="3" xfId="0" applyAlignment="1" applyBorder="1" applyFont="1" applyNumberFormat="1">
      <alignment horizontal="center" readingOrder="0" vertical="center"/>
    </xf>
    <xf borderId="2" fillId="5" fontId="2" numFmtId="0" xfId="0" applyAlignment="1" applyBorder="1" applyFill="1" applyFont="1">
      <alignment horizontal="center" readingOrder="0" vertical="center"/>
    </xf>
    <xf borderId="1" fillId="5" fontId="2" numFmtId="0" xfId="0" applyAlignment="1" applyBorder="1" applyFont="1">
      <alignment horizontal="center" readingOrder="0"/>
    </xf>
    <xf borderId="1" fillId="5" fontId="2" numFmtId="3" xfId="0" applyAlignment="1" applyBorder="1" applyFont="1" applyNumberFormat="1">
      <alignment readingOrder="0"/>
    </xf>
    <xf borderId="1" fillId="5" fontId="1" numFmtId="4" xfId="0" applyAlignment="1" applyBorder="1" applyFont="1" applyNumberFormat="1">
      <alignment horizontal="center" readingOrder="0" vertical="center"/>
    </xf>
    <xf borderId="2" fillId="5" fontId="1" numFmtId="3" xfId="0" applyAlignment="1" applyBorder="1" applyFont="1" applyNumberFormat="1">
      <alignment horizontal="center" readingOrder="0" vertical="center"/>
    </xf>
    <xf borderId="0" fillId="0" fontId="2" numFmtId="3" xfId="0" applyFont="1" applyNumberFormat="1"/>
    <xf borderId="0" fillId="0" fontId="1" numFmtId="4" xfId="0" applyFont="1" applyNumberFormat="1"/>
    <xf borderId="0" fillId="0" fontId="1" numFmtId="3" xfId="0" applyFont="1" applyNumberFormat="1"/>
    <xf borderId="1" fillId="5" fontId="2" numFmtId="3" xfId="0" applyAlignment="1" applyBorder="1" applyFont="1" applyNumberFormat="1">
      <alignment horizontal="center" readingOrder="0"/>
    </xf>
    <xf borderId="1" fillId="4" fontId="2" numFmtId="3" xfId="0" applyAlignment="1" applyBorder="1" applyFont="1" applyNumberFormat="1">
      <alignment horizontal="center" readingOrder="0"/>
    </xf>
    <xf borderId="1" fillId="3" fontId="2" numFmtId="3" xfId="0" applyAlignment="1" applyBorder="1" applyFont="1" applyNumberFormat="1">
      <alignment horizontal="center" readingOrder="0"/>
    </xf>
    <xf borderId="0" fillId="0" fontId="1" numFmtId="0" xfId="0" applyFont="1"/>
    <xf borderId="5" fillId="0" fontId="1" numFmtId="0" xfId="0" applyAlignment="1" applyBorder="1" applyFont="1">
      <alignment horizontal="center" readingOrder="0"/>
    </xf>
    <xf borderId="6" fillId="0" fontId="4" numFmtId="0" xfId="0" applyBorder="1" applyFont="1"/>
    <xf borderId="7" fillId="0" fontId="4" numFmtId="0" xfId="0" applyBorder="1" applyFont="1"/>
    <xf borderId="1" fillId="6" fontId="2" numFmtId="0" xfId="0" applyAlignment="1" applyBorder="1" applyFill="1" applyFont="1">
      <alignment horizontal="center" readingOrder="0"/>
    </xf>
    <xf borderId="1" fillId="7" fontId="2" numFmtId="0" xfId="0" applyAlignment="1" applyBorder="1" applyFill="1" applyFont="1">
      <alignment horizontal="center" readingOrder="0"/>
    </xf>
    <xf borderId="1" fillId="8" fontId="2" numFmtId="0" xfId="0" applyAlignment="1" applyBorder="1" applyFill="1" applyFont="1">
      <alignment horizontal="center" readingOrder="0"/>
    </xf>
    <xf borderId="1" fillId="9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right"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Ganancia por Metodo y Grupo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E67C7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67C7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57BB8A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</c:dPt>
          <c:dPt>
            <c:idx val="4"/>
            <c:spPr>
              <a:solidFill>
                <a:srgbClr val="57BB8A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FFD666"/>
              </a:solidFill>
              <a:ln cmpd="sng">
                <a:solidFill>
                  <a:srgbClr val="FFD666">
                    <a:alpha val="100000"/>
                  </a:srgbClr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RESULTADOS!$L$5:$L$10</c:f>
            </c:strRef>
          </c:cat>
          <c:val>
            <c:numRef>
              <c:f>RESULTADOS!$M$5:$M$10</c:f>
              <c:numCache/>
            </c:numRef>
          </c:val>
        </c:ser>
        <c:ser>
          <c:idx val="1"/>
          <c:order val="1"/>
          <c:cat>
            <c:strRef>
              <c:f>RESULTADOS!$L$5:$L$10</c:f>
            </c:strRef>
          </c:cat>
          <c:val>
            <c:numRef>
              <c:f>RESULTADOS!$N$5:$N$10</c:f>
              <c:numCache/>
            </c:numRef>
          </c:val>
        </c:ser>
        <c:axId val="287254250"/>
        <c:axId val="2069236716"/>
      </c:barChart>
      <c:catAx>
        <c:axId val="2872542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9236716"/>
      </c:catAx>
      <c:valAx>
        <c:axId val="20692367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7254250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Horas por Método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RESULTADOS!$M$4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67C7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57BB8A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E67C73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FFD666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RESULTADOS!$L$5:$L$10</c:f>
            </c:strRef>
          </c:cat>
          <c:val>
            <c:numRef>
              <c:f>RESULTADOS!$M$5:$M$10</c:f>
              <c:numCache/>
            </c:numRef>
          </c:val>
        </c:ser>
        <c:ser>
          <c:idx val="1"/>
          <c:order val="1"/>
          <c:tx>
            <c:strRef>
              <c:f>RESULTADOS!$O$4</c:f>
            </c:strRef>
          </c:tx>
          <c:cat>
            <c:strRef>
              <c:f>RESULTADOS!$L$5:$L$10</c:f>
            </c:strRef>
          </c:cat>
          <c:val>
            <c:numRef>
              <c:f>RESULTADOS!$O$5:$O$10</c:f>
              <c:numCache/>
            </c:numRef>
          </c:val>
        </c:ser>
        <c:axId val="294315073"/>
        <c:axId val="680192148"/>
      </c:barChart>
      <c:catAx>
        <c:axId val="2943150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0192148"/>
      </c:catAx>
      <c:valAx>
        <c:axId val="6801921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4315073"/>
        <c:crosses val="max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5838825</xdr:colOff>
      <xdr:row>2</xdr:row>
      <xdr:rowOff>85725</xdr:rowOff>
    </xdr:from>
    <xdr:ext cx="2495550" cy="619125"/>
    <xdr:grpSp>
      <xdr:nvGrpSpPr>
        <xdr:cNvPr id="2" name="Shape 2" title="Dibujo"/>
        <xdr:cNvGrpSpPr/>
      </xdr:nvGrpSpPr>
      <xdr:grpSpPr>
        <a:xfrm>
          <a:off x="2239425" y="1267975"/>
          <a:ext cx="2689200" cy="644100"/>
          <a:chOff x="2239425" y="1267975"/>
          <a:chExt cx="2689200" cy="644100"/>
        </a:xfrm>
      </xdr:grpSpPr>
      <xdr:cxnSp>
        <xdr:nvCxnSpPr>
          <xdr:cNvPr id="3" name="Shape 3"/>
          <xdr:cNvCxnSpPr/>
        </xdr:nvCxnSpPr>
        <xdr:spPr>
          <a:xfrm>
            <a:off x="2239425" y="1267975"/>
            <a:ext cx="2689200" cy="644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</xdr:col>
      <xdr:colOff>9525</xdr:colOff>
      <xdr:row>0</xdr:row>
      <xdr:rowOff>200025</xdr:rowOff>
    </xdr:from>
    <xdr:ext cx="4876800" cy="3562350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19</xdr:row>
      <xdr:rowOff>152400</xdr:rowOff>
    </xdr:from>
    <xdr:ext cx="7000875" cy="13716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29</xdr:row>
      <xdr:rowOff>9525</xdr:rowOff>
    </xdr:from>
    <xdr:ext cx="12353925" cy="305752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7353300</xdr:colOff>
      <xdr:row>46</xdr:row>
      <xdr:rowOff>47625</xdr:rowOff>
    </xdr:from>
    <xdr:ext cx="6810375" cy="1981200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1533525</xdr:colOff>
      <xdr:row>16</xdr:row>
      <xdr:rowOff>123825</xdr:rowOff>
    </xdr:from>
    <xdr:ext cx="3829050" cy="2781300"/>
    <xdr:pic>
      <xdr:nvPicPr>
        <xdr:cNvPr id="0" name="image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</xdr:colOff>
      <xdr:row>13</xdr:row>
      <xdr:rowOff>38100</xdr:rowOff>
    </xdr:from>
    <xdr:ext cx="6800850" cy="42291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28575</xdr:colOff>
      <xdr:row>35</xdr:row>
      <xdr:rowOff>190500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962025</xdr:colOff>
      <xdr:row>4</xdr:row>
      <xdr:rowOff>200025</xdr:rowOff>
    </xdr:from>
    <xdr:ext cx="6562725" cy="363855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23</xdr:row>
      <xdr:rowOff>200025</xdr:rowOff>
    </xdr:from>
    <xdr:ext cx="5562600" cy="3467100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F76" sheet="Data Nestor"/>
  </cacheSource>
  <cacheFields>
    <cacheField name="semilla" numFmtId="0">
      <sharedItems containsSemiMixedTypes="0" containsString="0" containsNumber="1" containsInteger="1">
        <n v="655849.0"/>
        <n v="111347.0"/>
        <n v="253607.0"/>
        <n v="191717.0"/>
        <n v="984587.0"/>
      </sharedItems>
    </cacheField>
    <cacheField name="boosting" numFmtId="0">
      <sharedItems>
        <s v="rf"/>
        <s v="gbdt"/>
        <s v="dart"/>
      </sharedItems>
    </cacheField>
    <cacheField name="kaggle" numFmtId="0">
      <sharedItems containsSemiMixedTypes="0" containsString="0" containsNumber="1">
        <n v="53.787"/>
        <n v="53.687"/>
        <n v="53.567"/>
        <n v="53.047"/>
        <n v="52.647"/>
        <n v="56.467"/>
        <n v="56.277"/>
        <n v="56.597"/>
        <n v="55.977"/>
        <n v="55.067"/>
        <n v="55.947"/>
        <n v="51.287"/>
        <n v="51.277"/>
        <n v="51.107"/>
        <n v="51.037"/>
        <n v="55.917"/>
        <n v="55.387"/>
        <n v="55.227"/>
        <n v="55.547"/>
        <n v="55.937"/>
        <n v="53.087"/>
        <n v="52.717"/>
        <n v="52.297"/>
        <n v="52.127"/>
        <n v="52.357"/>
        <n v="64.347"/>
        <n v="65.027"/>
        <n v="64.487"/>
        <n v="63.837"/>
        <n v="63.937"/>
        <n v="62.577"/>
        <n v="62.827"/>
        <n v="62.667"/>
        <n v="62.517"/>
        <n v="61.947"/>
        <n v="63.467"/>
        <n v="63.457"/>
        <n v="64.367"/>
        <n v="64.127"/>
        <n v="62.697"/>
        <n v="62.787"/>
        <n v="62.117"/>
        <n v="61.937"/>
        <n v="61.477"/>
        <n v="61.707"/>
        <n v="62.747"/>
        <n v="63.417"/>
        <n v="63.627"/>
        <n v="62.967"/>
        <n v="63.407"/>
        <n v="64.397"/>
        <n v="64.637"/>
        <n v="64.947"/>
        <n v="65.217"/>
        <n v="63.087"/>
        <n v="63.237"/>
        <n v="63.147"/>
        <n v="63.037"/>
        <n v="62.607"/>
        <n v="62.527"/>
        <n v="63.647"/>
        <n v="64.577"/>
        <n v="65.237"/>
        <n v="64.597"/>
        <n v="65.337"/>
        <n v="65.307"/>
        <n v="65.617"/>
        <n v="65.817"/>
        <n v="64.907"/>
        <n v="65.077"/>
        <n v="65.187"/>
        <n v="65.927"/>
        <n v="64.887"/>
        <n v="66.007"/>
      </sharedItems>
    </cacheField>
    <cacheField name="Ganancia" numFmtId="0">
      <sharedItems containsSemiMixedTypes="0" containsString="0" containsNumber="1">
        <n v="5.3787E7"/>
        <n v="5.3687E7"/>
        <n v="5.3567E7"/>
        <n v="5.3047E7"/>
        <n v="5.2647E7"/>
        <n v="5.6467E7"/>
        <n v="5.6277E7"/>
        <n v="5.6597E7"/>
        <n v="5.5977E7"/>
        <n v="5.5067E7"/>
        <n v="5.5947E7"/>
        <n v="5.1287E7"/>
        <n v="5.1277E7"/>
        <n v="5.1107E7"/>
        <n v="5.1037E7"/>
        <n v="5.5917E7"/>
        <n v="5.5387E7"/>
        <n v="5.5227E7"/>
        <n v="5.5547E7"/>
        <n v="5.5937E7"/>
        <n v="5.3087E7"/>
        <n v="5.2717E7"/>
        <n v="5.2297E7"/>
        <n v="5.2127E7"/>
        <n v="5.2357E7"/>
        <n v="6.434699999999999E7"/>
        <n v="6.5027E7"/>
        <n v="6.448699999999999E7"/>
        <n v="6.3837E7"/>
        <n v="6.3937E7"/>
        <n v="6.2577E7"/>
        <n v="6.2827E7"/>
        <n v="6.2667E7"/>
        <n v="6.2517E7"/>
        <n v="6.1947E7"/>
        <n v="6.3467E7"/>
        <n v="6.3457E7"/>
        <n v="6.436700000000001E7"/>
        <n v="6.412699999999999E7"/>
        <n v="6.2697E7"/>
        <n v="6.2787E7"/>
        <n v="6.2117E7"/>
        <n v="6.1937E7"/>
        <n v="6.1477E7"/>
        <n v="6.1707E7"/>
        <n v="6.2747E7"/>
        <n v="6.3417E7"/>
        <n v="6.3627E7"/>
        <n v="6.2967E7"/>
        <n v="6.3407E7"/>
        <n v="6.439700000000001E7"/>
        <n v="6.4637E7"/>
        <n v="6.4947E7"/>
        <n v="6.5217E7"/>
        <n v="6.3087E7"/>
        <n v="6.3237E7"/>
        <n v="6.3147E7"/>
        <n v="6.3037E7"/>
        <n v="6.2607E7"/>
        <n v="6.2527E7"/>
        <n v="6.3647E7"/>
        <n v="6.4577E7"/>
        <n v="6.523699999999999E7"/>
        <n v="6.459699999999999E7"/>
        <n v="6.5337E7"/>
        <n v="6.5307E7"/>
        <n v="6.561700000000001E7"/>
        <n v="6.581699999999999E7"/>
        <n v="6.4907E7"/>
        <n v="6.5077E7"/>
        <n v="6.5187E7"/>
        <n v="6.592700000000001E7"/>
        <n v="6.4887E7"/>
        <n v="6.600700000000001E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ta Nestor" cacheId="0" dataCaption="" compact="0" compactData="0">
  <location ref="J3:L22" firstHeaderRow="0" firstDataRow="2" firstDataCol="0"/>
  <pivotFields>
    <pivotField name="semilla" axis="axisRow" compact="0" outline="0" multipleItemSelectionAllowed="1" showAll="0" sortType="ascending">
      <items>
        <item x="1"/>
        <item x="3"/>
        <item x="2"/>
        <item x="0"/>
        <item x="4"/>
        <item t="default"/>
      </items>
    </pivotField>
    <pivotField name="boosting" axis="axisRow" compact="0" outline="0" multipleItemSelectionAllowed="1" showAll="0" sortType="ascending">
      <items>
        <item x="2"/>
        <item x="1"/>
        <item x="0"/>
        <item t="default"/>
      </items>
    </pivotField>
    <pivotField name="kagg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Gananci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</pivotFields>
  <rowFields>
    <field x="1"/>
    <field x="0"/>
  </rowFields>
  <dataFields>
    <dataField name="MAX of Ganancia" fld="3" subtotal="max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torage.googleapis.com/open-courses/austral2025-af91/labo1v/Austral_labo2025v.pd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6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3" t="s">
        <v>11</v>
      </c>
    </row>
    <row r="13">
      <c r="A13" s="2" t="s">
        <v>12</v>
      </c>
    </row>
  </sheetData>
  <hyperlinks>
    <hyperlink r:id="rId1" ref="A1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6" max="6" width="11.63"/>
    <col customWidth="1" min="7" max="7" width="10.75"/>
    <col customWidth="1" min="8" max="8" width="17.88"/>
    <col customWidth="1" min="9" max="9" width="18.25"/>
    <col customWidth="1" min="13" max="13" width="16.25"/>
    <col customWidth="1" min="14" max="14" width="18.5"/>
    <col customWidth="1" min="15" max="15" width="20.13"/>
    <col customWidth="1" min="16" max="16" width="18.25"/>
  </cols>
  <sheetData>
    <row r="1">
      <c r="G1" s="4"/>
    </row>
    <row r="2">
      <c r="G2" s="4"/>
    </row>
    <row r="3"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 t="s">
        <v>18</v>
      </c>
      <c r="H3" s="5" t="s">
        <v>19</v>
      </c>
      <c r="I3" s="5" t="s">
        <v>20</v>
      </c>
    </row>
    <row r="4">
      <c r="B4" s="7" t="s">
        <v>21</v>
      </c>
      <c r="C4" s="7" t="s">
        <v>22</v>
      </c>
      <c r="D4" s="8" t="s">
        <v>23</v>
      </c>
      <c r="E4" s="9">
        <v>100109.0</v>
      </c>
      <c r="F4" s="10">
        <v>6.46926E7</v>
      </c>
      <c r="G4" s="11">
        <v>31.3</v>
      </c>
      <c r="H4" s="12">
        <f t="shared" ref="H4:I4" si="1">AVERAGE(F4:F8)</f>
        <v>64745700</v>
      </c>
      <c r="I4" s="12">
        <f t="shared" si="1"/>
        <v>30.48</v>
      </c>
      <c r="L4" s="5" t="s">
        <v>14</v>
      </c>
      <c r="M4" s="5" t="s">
        <v>24</v>
      </c>
      <c r="N4" s="5" t="s">
        <v>19</v>
      </c>
      <c r="O4" s="5" t="s">
        <v>20</v>
      </c>
    </row>
    <row r="5">
      <c r="B5" s="13"/>
      <c r="C5" s="13"/>
      <c r="D5" s="13"/>
      <c r="E5" s="9">
        <v>100129.0</v>
      </c>
      <c r="F5" s="10">
        <v>6.35571E7</v>
      </c>
      <c r="G5" s="11">
        <v>29.7</v>
      </c>
      <c r="H5" s="13"/>
      <c r="I5" s="13"/>
      <c r="L5" s="14" t="s">
        <v>25</v>
      </c>
      <c r="M5" s="14" t="s">
        <v>26</v>
      </c>
      <c r="N5" s="15">
        <f t="shared" ref="N5:O5" si="2">AVERAGE(F14:F18,F21:F25)</f>
        <v>57613680</v>
      </c>
      <c r="O5" s="16">
        <f t="shared" si="2"/>
        <v>1.387</v>
      </c>
    </row>
    <row r="6">
      <c r="B6" s="13"/>
      <c r="C6" s="13"/>
      <c r="D6" s="13"/>
      <c r="E6" s="9">
        <v>100153.0</v>
      </c>
      <c r="F6" s="10">
        <v>6.53451E7</v>
      </c>
      <c r="G6" s="11">
        <v>30.8</v>
      </c>
      <c r="H6" s="13"/>
      <c r="I6" s="13"/>
      <c r="L6" s="14" t="s">
        <v>25</v>
      </c>
      <c r="M6" s="14" t="s">
        <v>23</v>
      </c>
      <c r="N6" s="17">
        <f t="shared" ref="N6:O6" si="3">AVERAGE(F4:F8,F31:F35)</f>
        <v>64615040</v>
      </c>
      <c r="O6" s="18">
        <f t="shared" si="3"/>
        <v>33.441</v>
      </c>
    </row>
    <row r="7">
      <c r="B7" s="13"/>
      <c r="C7" s="13"/>
      <c r="D7" s="13"/>
      <c r="E7" s="9">
        <v>100169.0</v>
      </c>
      <c r="F7" s="10">
        <v>6.50748E7</v>
      </c>
      <c r="G7" s="11">
        <v>28.5</v>
      </c>
      <c r="H7" s="13"/>
      <c r="I7" s="13"/>
      <c r="L7" s="14" t="s">
        <v>25</v>
      </c>
      <c r="M7" s="14" t="s">
        <v>27</v>
      </c>
      <c r="N7" s="15">
        <f t="shared" ref="N7:O7" si="4">AVERAGE(F9:F13,F26:F30)</f>
        <v>64050630</v>
      </c>
      <c r="O7" s="16">
        <f t="shared" si="4"/>
        <v>6.379</v>
      </c>
    </row>
    <row r="8">
      <c r="B8" s="13"/>
      <c r="C8" s="13"/>
      <c r="D8" s="19"/>
      <c r="E8" s="9">
        <v>100189.0</v>
      </c>
      <c r="F8" s="10">
        <v>6.50589E7</v>
      </c>
      <c r="G8" s="11">
        <v>32.1</v>
      </c>
      <c r="H8" s="19"/>
      <c r="I8" s="19"/>
      <c r="L8" s="14" t="s">
        <v>28</v>
      </c>
      <c r="M8" s="14" t="s">
        <v>26</v>
      </c>
      <c r="N8" s="15">
        <f t="shared" ref="N8:O8" si="5">H48</f>
        <v>55071000</v>
      </c>
      <c r="O8" s="15">
        <f t="shared" si="5"/>
        <v>2.474</v>
      </c>
    </row>
    <row r="9">
      <c r="B9" s="13"/>
      <c r="C9" s="13"/>
      <c r="D9" s="20" t="s">
        <v>27</v>
      </c>
      <c r="E9" s="21">
        <v>100109.0</v>
      </c>
      <c r="F9" s="22">
        <v>6.44025E7</v>
      </c>
      <c r="G9" s="23">
        <v>5.18</v>
      </c>
      <c r="H9" s="24">
        <f t="shared" ref="H9:I9" si="6">AVERAGE(F9:F13)</f>
        <v>64486080</v>
      </c>
      <c r="I9" s="24">
        <f t="shared" si="6"/>
        <v>5.662</v>
      </c>
      <c r="L9" s="14" t="s">
        <v>28</v>
      </c>
      <c r="M9" s="14" t="s">
        <v>23</v>
      </c>
      <c r="N9" s="15">
        <f t="shared" ref="N9:O9" si="7">H38</f>
        <v>65103000</v>
      </c>
      <c r="O9" s="15">
        <f t="shared" si="7"/>
        <v>42.972</v>
      </c>
    </row>
    <row r="10">
      <c r="B10" s="13"/>
      <c r="C10" s="13"/>
      <c r="D10" s="13"/>
      <c r="E10" s="21">
        <v>100129.0</v>
      </c>
      <c r="F10" s="22">
        <v>6.31167E7</v>
      </c>
      <c r="G10" s="23">
        <v>6.3</v>
      </c>
      <c r="H10" s="13"/>
      <c r="I10" s="13"/>
      <c r="L10" s="14" t="s">
        <v>28</v>
      </c>
      <c r="M10" s="14" t="s">
        <v>27</v>
      </c>
      <c r="N10" s="15">
        <f t="shared" ref="N10:O10" si="8">H43</f>
        <v>63727000</v>
      </c>
      <c r="O10" s="15">
        <f t="shared" si="8"/>
        <v>7.61</v>
      </c>
    </row>
    <row r="11">
      <c r="B11" s="13"/>
      <c r="C11" s="13"/>
      <c r="D11" s="13"/>
      <c r="E11" s="21">
        <v>100153.0</v>
      </c>
      <c r="F11" s="22">
        <v>6.51024E7</v>
      </c>
      <c r="G11" s="23">
        <v>5.45</v>
      </c>
      <c r="H11" s="13"/>
      <c r="I11" s="13"/>
    </row>
    <row r="12">
      <c r="B12" s="13"/>
      <c r="C12" s="13"/>
      <c r="D12" s="13"/>
      <c r="E12" s="21">
        <v>100169.0</v>
      </c>
      <c r="F12" s="22">
        <v>6.47499E7</v>
      </c>
      <c r="G12" s="23">
        <v>5.27</v>
      </c>
      <c r="H12" s="13"/>
      <c r="I12" s="13"/>
    </row>
    <row r="13">
      <c r="B13" s="13"/>
      <c r="C13" s="13"/>
      <c r="D13" s="19"/>
      <c r="E13" s="21">
        <v>100189.0</v>
      </c>
      <c r="F13" s="22">
        <v>6.50589E7</v>
      </c>
      <c r="G13" s="23">
        <v>6.11</v>
      </c>
      <c r="H13" s="19"/>
      <c r="I13" s="19"/>
    </row>
    <row r="14">
      <c r="B14" s="13"/>
      <c r="C14" s="13"/>
      <c r="D14" s="25" t="s">
        <v>26</v>
      </c>
      <c r="E14" s="26">
        <v>100109.0</v>
      </c>
      <c r="F14" s="27">
        <v>5.71557E7</v>
      </c>
      <c r="G14" s="28">
        <v>1.21</v>
      </c>
      <c r="H14" s="29">
        <f t="shared" ref="H14:I14" si="9">AVERAGE(F14:F18)</f>
        <v>57462900</v>
      </c>
      <c r="I14" s="29">
        <f t="shared" si="9"/>
        <v>1.216</v>
      </c>
    </row>
    <row r="15">
      <c r="B15" s="13"/>
      <c r="C15" s="13"/>
      <c r="D15" s="13"/>
      <c r="E15" s="26">
        <v>100129.0</v>
      </c>
      <c r="F15" s="27">
        <v>5.83011E7</v>
      </c>
      <c r="G15" s="28">
        <v>1.29</v>
      </c>
      <c r="H15" s="13"/>
      <c r="I15" s="13"/>
    </row>
    <row r="16">
      <c r="B16" s="13"/>
      <c r="C16" s="13"/>
      <c r="D16" s="13"/>
      <c r="E16" s="26">
        <v>100153.0</v>
      </c>
      <c r="F16" s="27">
        <v>5.85978E7</v>
      </c>
      <c r="G16" s="28">
        <v>1.15</v>
      </c>
      <c r="H16" s="13"/>
      <c r="I16" s="13"/>
    </row>
    <row r="17">
      <c r="B17" s="13"/>
      <c r="C17" s="13"/>
      <c r="D17" s="13"/>
      <c r="E17" s="26">
        <v>100169.0</v>
      </c>
      <c r="F17" s="27">
        <v>5.63472E7</v>
      </c>
      <c r="G17" s="28">
        <v>1.19</v>
      </c>
      <c r="H17" s="13"/>
      <c r="I17" s="13"/>
    </row>
    <row r="18">
      <c r="B18" s="19"/>
      <c r="C18" s="19"/>
      <c r="D18" s="19"/>
      <c r="E18" s="26">
        <v>100189.0</v>
      </c>
      <c r="F18" s="27">
        <v>5.69127E7</v>
      </c>
      <c r="G18" s="28">
        <v>1.24</v>
      </c>
      <c r="H18" s="19"/>
      <c r="I18" s="19"/>
    </row>
    <row r="19">
      <c r="F19" s="30"/>
      <c r="G19" s="31"/>
      <c r="H19" s="32"/>
    </row>
    <row r="20">
      <c r="B20" s="5" t="s">
        <v>13</v>
      </c>
      <c r="C20" s="5" t="s">
        <v>14</v>
      </c>
      <c r="D20" s="5" t="s">
        <v>15</v>
      </c>
      <c r="E20" s="5" t="s">
        <v>16</v>
      </c>
      <c r="F20" s="5" t="s">
        <v>17</v>
      </c>
      <c r="G20" s="6" t="s">
        <v>18</v>
      </c>
      <c r="H20" s="5" t="s">
        <v>29</v>
      </c>
      <c r="I20" s="5" t="s">
        <v>20</v>
      </c>
    </row>
    <row r="21">
      <c r="B21" s="7" t="s">
        <v>30</v>
      </c>
      <c r="C21" s="7" t="s">
        <v>22</v>
      </c>
      <c r="D21" s="25" t="s">
        <v>26</v>
      </c>
      <c r="E21" s="26">
        <v>914443.0</v>
      </c>
      <c r="F21" s="33">
        <v>5.74452E7</v>
      </c>
      <c r="G21" s="28">
        <v>1.7</v>
      </c>
      <c r="H21" s="29">
        <f t="shared" ref="H21:I21" si="10">AVERAGE(F21:F25)</f>
        <v>57764460</v>
      </c>
      <c r="I21" s="29">
        <f t="shared" si="10"/>
        <v>1.558</v>
      </c>
    </row>
    <row r="22">
      <c r="B22" s="13"/>
      <c r="C22" s="13"/>
      <c r="D22" s="13"/>
      <c r="E22" s="26">
        <v>584777.0</v>
      </c>
      <c r="F22" s="33">
        <v>5.75271E7</v>
      </c>
      <c r="G22" s="28">
        <v>1.62</v>
      </c>
      <c r="H22" s="13"/>
      <c r="I22" s="13"/>
    </row>
    <row r="23">
      <c r="B23" s="13"/>
      <c r="C23" s="13"/>
      <c r="D23" s="13"/>
      <c r="E23" s="26">
        <v>424451.0</v>
      </c>
      <c r="F23" s="33">
        <v>5.79276E7</v>
      </c>
      <c r="G23" s="28">
        <v>1.42</v>
      </c>
      <c r="H23" s="13"/>
      <c r="I23" s="13"/>
    </row>
    <row r="24">
      <c r="B24" s="13"/>
      <c r="C24" s="13"/>
      <c r="D24" s="13"/>
      <c r="E24" s="26">
        <v>343433.0</v>
      </c>
      <c r="F24" s="33">
        <v>5.82897E7</v>
      </c>
      <c r="G24" s="28">
        <v>1.33</v>
      </c>
      <c r="H24" s="13"/>
      <c r="I24" s="13"/>
    </row>
    <row r="25">
      <c r="B25" s="13"/>
      <c r="C25" s="13"/>
      <c r="D25" s="19"/>
      <c r="E25" s="26">
        <v>131311.0</v>
      </c>
      <c r="F25" s="33">
        <v>5.76327E7</v>
      </c>
      <c r="G25" s="28">
        <v>1.72</v>
      </c>
      <c r="H25" s="19"/>
      <c r="I25" s="19"/>
    </row>
    <row r="26">
      <c r="B26" s="13"/>
      <c r="C26" s="13"/>
      <c r="D26" s="20" t="s">
        <v>27</v>
      </c>
      <c r="E26" s="21">
        <v>914443.0</v>
      </c>
      <c r="F26" s="34">
        <v>6.38781E7</v>
      </c>
      <c r="G26" s="23">
        <v>6.41</v>
      </c>
      <c r="H26" s="24">
        <f t="shared" ref="H26:I26" si="11">AVERAGE(F26:F30)</f>
        <v>63615180</v>
      </c>
      <c r="I26" s="24">
        <f t="shared" si="11"/>
        <v>7.096</v>
      </c>
    </row>
    <row r="27">
      <c r="B27" s="13"/>
      <c r="C27" s="13"/>
      <c r="D27" s="13"/>
      <c r="E27" s="21">
        <v>584777.0</v>
      </c>
      <c r="F27" s="34">
        <v>6.25899E7</v>
      </c>
      <c r="G27" s="23">
        <v>8.11</v>
      </c>
      <c r="H27" s="13"/>
      <c r="I27" s="13"/>
    </row>
    <row r="28">
      <c r="B28" s="13"/>
      <c r="C28" s="13"/>
      <c r="D28" s="13"/>
      <c r="E28" s="21">
        <v>424451.0</v>
      </c>
      <c r="F28" s="34">
        <v>6.42561E7</v>
      </c>
      <c r="G28" s="23">
        <v>6.5</v>
      </c>
      <c r="H28" s="13"/>
      <c r="I28" s="13"/>
    </row>
    <row r="29">
      <c r="B29" s="13"/>
      <c r="C29" s="13"/>
      <c r="D29" s="13"/>
      <c r="E29" s="21">
        <v>343433.0</v>
      </c>
      <c r="F29" s="34">
        <v>6.39576E7</v>
      </c>
      <c r="G29" s="23">
        <v>7.63</v>
      </c>
      <c r="H29" s="13"/>
      <c r="I29" s="13"/>
    </row>
    <row r="30">
      <c r="B30" s="13"/>
      <c r="C30" s="13"/>
      <c r="D30" s="19"/>
      <c r="E30" s="21">
        <v>131311.0</v>
      </c>
      <c r="F30" s="34">
        <v>6.33942E7</v>
      </c>
      <c r="G30" s="23">
        <v>6.83</v>
      </c>
      <c r="H30" s="19"/>
      <c r="I30" s="19"/>
    </row>
    <row r="31">
      <c r="B31" s="13"/>
      <c r="C31" s="13"/>
      <c r="D31" s="8" t="s">
        <v>23</v>
      </c>
      <c r="E31" s="9">
        <v>914443.0</v>
      </c>
      <c r="F31" s="35">
        <v>6.41184E7</v>
      </c>
      <c r="G31" s="11">
        <v>35.87</v>
      </c>
      <c r="H31" s="12">
        <f t="shared" ref="H31:I31" si="12">AVERAGE(F31:F35)</f>
        <v>64484380</v>
      </c>
      <c r="I31" s="12">
        <f t="shared" si="12"/>
        <v>36.402</v>
      </c>
    </row>
    <row r="32">
      <c r="B32" s="13"/>
      <c r="C32" s="13"/>
      <c r="D32" s="13"/>
      <c r="E32" s="9">
        <v>131311.0</v>
      </c>
      <c r="F32" s="35">
        <v>6.4833E7</v>
      </c>
      <c r="G32" s="11">
        <v>35.93</v>
      </c>
      <c r="H32" s="13"/>
      <c r="I32" s="13"/>
    </row>
    <row r="33">
      <c r="B33" s="13"/>
      <c r="C33" s="13"/>
      <c r="D33" s="13"/>
      <c r="E33" s="9">
        <v>584777.0</v>
      </c>
      <c r="F33" s="35">
        <v>6.44745E7</v>
      </c>
      <c r="G33" s="11">
        <v>34.21</v>
      </c>
      <c r="H33" s="13"/>
      <c r="I33" s="13"/>
    </row>
    <row r="34">
      <c r="B34" s="13"/>
      <c r="C34" s="13"/>
      <c r="D34" s="13"/>
      <c r="E34" s="9">
        <v>424451.0</v>
      </c>
      <c r="F34" s="35">
        <v>6.39581E7</v>
      </c>
      <c r="G34" s="11">
        <v>38.47</v>
      </c>
      <c r="H34" s="13"/>
      <c r="I34" s="13"/>
    </row>
    <row r="35">
      <c r="B35" s="19"/>
      <c r="C35" s="19"/>
      <c r="D35" s="19"/>
      <c r="E35" s="9">
        <v>343433.0</v>
      </c>
      <c r="F35" s="35">
        <v>6.50379E7</v>
      </c>
      <c r="G35" s="11">
        <v>37.53</v>
      </c>
      <c r="H35" s="19"/>
      <c r="I35" s="19"/>
    </row>
    <row r="36">
      <c r="G36" s="31"/>
      <c r="H36" s="36"/>
    </row>
    <row r="37">
      <c r="B37" s="5" t="s">
        <v>13</v>
      </c>
      <c r="C37" s="5" t="s">
        <v>14</v>
      </c>
      <c r="D37" s="5" t="s">
        <v>15</v>
      </c>
      <c r="E37" s="5" t="s">
        <v>16</v>
      </c>
      <c r="F37" s="5" t="s">
        <v>17</v>
      </c>
      <c r="G37" s="6" t="s">
        <v>18</v>
      </c>
      <c r="H37" s="5" t="s">
        <v>29</v>
      </c>
      <c r="I37" s="5" t="s">
        <v>20</v>
      </c>
    </row>
    <row r="38">
      <c r="B38" s="7" t="s">
        <v>31</v>
      </c>
      <c r="C38" s="7" t="s">
        <v>32</v>
      </c>
      <c r="D38" s="8" t="s">
        <v>23</v>
      </c>
      <c r="E38" s="9">
        <v>111347.0</v>
      </c>
      <c r="F38" s="35">
        <v>6.581699999999999E7</v>
      </c>
      <c r="G38" s="11">
        <v>41.2</v>
      </c>
      <c r="H38" s="12">
        <f t="shared" ref="H38:I38" si="13">AVERAGE(F38:F42)</f>
        <v>65103000</v>
      </c>
      <c r="I38" s="12">
        <f t="shared" si="13"/>
        <v>42.972</v>
      </c>
    </row>
    <row r="39">
      <c r="B39" s="13"/>
      <c r="C39" s="13"/>
      <c r="D39" s="13"/>
      <c r="E39" s="9">
        <v>191717.0</v>
      </c>
      <c r="F39" s="35">
        <v>6.523699999999999E7</v>
      </c>
      <c r="G39" s="11">
        <v>40.62</v>
      </c>
      <c r="H39" s="13"/>
      <c r="I39" s="13"/>
    </row>
    <row r="40">
      <c r="B40" s="13"/>
      <c r="C40" s="13"/>
      <c r="D40" s="13"/>
      <c r="E40" s="9">
        <v>253607.0</v>
      </c>
      <c r="F40" s="35">
        <v>6.600700000000001E7</v>
      </c>
      <c r="G40" s="11">
        <v>45.26</v>
      </c>
      <c r="H40" s="13"/>
      <c r="I40" s="13"/>
    </row>
    <row r="41">
      <c r="B41" s="13"/>
      <c r="C41" s="13"/>
      <c r="D41" s="13"/>
      <c r="E41" s="9">
        <v>655849.0</v>
      </c>
      <c r="F41" s="35">
        <v>6.5217E7</v>
      </c>
      <c r="G41" s="11">
        <v>45.6</v>
      </c>
      <c r="H41" s="13"/>
      <c r="I41" s="13"/>
    </row>
    <row r="42">
      <c r="B42" s="13"/>
      <c r="C42" s="13"/>
      <c r="D42" s="19"/>
      <c r="E42" s="9">
        <v>984587.0</v>
      </c>
      <c r="F42" s="35">
        <v>6.3237E7</v>
      </c>
      <c r="G42" s="11">
        <v>42.18</v>
      </c>
      <c r="H42" s="19"/>
      <c r="I42" s="19"/>
    </row>
    <row r="43">
      <c r="B43" s="13"/>
      <c r="C43" s="13"/>
      <c r="D43" s="20" t="s">
        <v>27</v>
      </c>
      <c r="E43" s="21">
        <v>111347.0</v>
      </c>
      <c r="F43" s="34">
        <v>6.436700000000001E7</v>
      </c>
      <c r="G43" s="23">
        <v>8.2</v>
      </c>
      <c r="H43" s="24">
        <f t="shared" ref="H43:I43" si="14">AVERAGE(F43:F47)</f>
        <v>63727000</v>
      </c>
      <c r="I43" s="24">
        <f t="shared" si="14"/>
        <v>7.61</v>
      </c>
    </row>
    <row r="44">
      <c r="B44" s="13"/>
      <c r="C44" s="13"/>
      <c r="D44" s="13"/>
      <c r="E44" s="21">
        <v>191717.0</v>
      </c>
      <c r="F44" s="34">
        <v>6.3627E7</v>
      </c>
      <c r="G44" s="23">
        <v>7.35</v>
      </c>
      <c r="H44" s="13"/>
      <c r="I44" s="13"/>
    </row>
    <row r="45">
      <c r="B45" s="13"/>
      <c r="C45" s="13"/>
      <c r="D45" s="13"/>
      <c r="E45" s="21">
        <v>253607.0</v>
      </c>
      <c r="F45" s="34">
        <v>6.2827E7</v>
      </c>
      <c r="G45" s="23">
        <v>7.3</v>
      </c>
      <c r="H45" s="13"/>
      <c r="I45" s="13"/>
    </row>
    <row r="46">
      <c r="B46" s="13"/>
      <c r="C46" s="13"/>
      <c r="D46" s="13"/>
      <c r="E46" s="21">
        <v>655849.0</v>
      </c>
      <c r="F46" s="34">
        <v>6.2787E7</v>
      </c>
      <c r="G46" s="23">
        <v>8.01</v>
      </c>
      <c r="H46" s="13"/>
      <c r="I46" s="13"/>
    </row>
    <row r="47">
      <c r="B47" s="13"/>
      <c r="C47" s="13"/>
      <c r="D47" s="19"/>
      <c r="E47" s="21">
        <v>984587.0</v>
      </c>
      <c r="F47" s="34">
        <v>6.5027E7</v>
      </c>
      <c r="G47" s="23">
        <v>7.19</v>
      </c>
      <c r="H47" s="19"/>
      <c r="I47" s="19"/>
    </row>
    <row r="48">
      <c r="B48" s="13"/>
      <c r="C48" s="13"/>
      <c r="D48" s="25" t="s">
        <v>26</v>
      </c>
      <c r="E48" s="26">
        <v>111347.0</v>
      </c>
      <c r="F48" s="33">
        <v>5.6597E7</v>
      </c>
      <c r="G48" s="28">
        <v>2.94</v>
      </c>
      <c r="H48" s="29">
        <f t="shared" ref="H48:I48" si="15">AVERAGE(F48:F52)</f>
        <v>55071000</v>
      </c>
      <c r="I48" s="29">
        <f t="shared" si="15"/>
        <v>2.474</v>
      </c>
    </row>
    <row r="49">
      <c r="B49" s="13"/>
      <c r="C49" s="13"/>
      <c r="D49" s="13"/>
      <c r="E49" s="26">
        <v>191717.0</v>
      </c>
      <c r="F49" s="33">
        <v>5.5937E7</v>
      </c>
      <c r="G49" s="28">
        <v>2.72</v>
      </c>
      <c r="H49" s="13"/>
      <c r="I49" s="13"/>
    </row>
    <row r="50">
      <c r="B50" s="13"/>
      <c r="C50" s="13"/>
      <c r="D50" s="13"/>
      <c r="E50" s="26">
        <v>253607.0</v>
      </c>
      <c r="F50" s="33">
        <v>5.5947E7</v>
      </c>
      <c r="G50" s="28">
        <v>2.04</v>
      </c>
      <c r="H50" s="13"/>
      <c r="I50" s="13"/>
    </row>
    <row r="51">
      <c r="B51" s="13"/>
      <c r="C51" s="13"/>
      <c r="D51" s="13"/>
      <c r="E51" s="26">
        <v>655849.0</v>
      </c>
      <c r="F51" s="33">
        <v>5.3787E7</v>
      </c>
      <c r="G51" s="28">
        <v>2.01</v>
      </c>
      <c r="H51" s="13"/>
      <c r="I51" s="13"/>
    </row>
    <row r="52">
      <c r="B52" s="19"/>
      <c r="C52" s="19"/>
      <c r="D52" s="19"/>
      <c r="E52" s="26">
        <v>984587.0</v>
      </c>
      <c r="F52" s="33">
        <v>5.3087E7</v>
      </c>
      <c r="G52" s="28">
        <v>2.66</v>
      </c>
      <c r="H52" s="19"/>
      <c r="I52" s="19"/>
    </row>
    <row r="53">
      <c r="G53" s="4"/>
    </row>
    <row r="54">
      <c r="G54" s="4"/>
    </row>
    <row r="55">
      <c r="G55" s="4"/>
    </row>
    <row r="56">
      <c r="G56" s="4"/>
    </row>
    <row r="57">
      <c r="G57" s="4"/>
    </row>
    <row r="58">
      <c r="G58" s="4"/>
    </row>
    <row r="59">
      <c r="G59" s="4"/>
    </row>
    <row r="60">
      <c r="G60" s="4"/>
    </row>
    <row r="61">
      <c r="G61" s="4"/>
    </row>
    <row r="62">
      <c r="G62" s="4"/>
    </row>
    <row r="63">
      <c r="G63" s="4"/>
    </row>
    <row r="64">
      <c r="G64" s="4"/>
    </row>
    <row r="65">
      <c r="G65" s="4"/>
    </row>
    <row r="66">
      <c r="G66" s="4"/>
    </row>
    <row r="67">
      <c r="G67" s="4"/>
    </row>
    <row r="68">
      <c r="G68" s="4"/>
    </row>
    <row r="69">
      <c r="G69" s="4"/>
    </row>
    <row r="70">
      <c r="G70" s="4"/>
    </row>
    <row r="71">
      <c r="G71" s="4"/>
    </row>
    <row r="72">
      <c r="G72" s="4"/>
    </row>
    <row r="73">
      <c r="G73" s="4"/>
    </row>
    <row r="74">
      <c r="G74" s="4"/>
    </row>
    <row r="75">
      <c r="G75" s="4"/>
    </row>
    <row r="76">
      <c r="G76" s="4"/>
    </row>
    <row r="77">
      <c r="G77" s="4"/>
    </row>
    <row r="78">
      <c r="G78" s="4"/>
    </row>
    <row r="79">
      <c r="G79" s="4"/>
    </row>
    <row r="80">
      <c r="G80" s="4"/>
    </row>
    <row r="81">
      <c r="G81" s="4"/>
    </row>
    <row r="82">
      <c r="G82" s="4"/>
    </row>
    <row r="83">
      <c r="G83" s="4"/>
    </row>
    <row r="84">
      <c r="G84" s="4"/>
    </row>
    <row r="85">
      <c r="G85" s="4"/>
    </row>
    <row r="86">
      <c r="G86" s="4"/>
    </row>
    <row r="87">
      <c r="G87" s="4"/>
    </row>
    <row r="88">
      <c r="G88" s="4"/>
    </row>
    <row r="89">
      <c r="G89" s="4"/>
    </row>
    <row r="90">
      <c r="G90" s="4"/>
    </row>
    <row r="91">
      <c r="G91" s="4"/>
    </row>
    <row r="92">
      <c r="G92" s="4"/>
    </row>
    <row r="93">
      <c r="G93" s="4"/>
    </row>
    <row r="94">
      <c r="G94" s="4"/>
    </row>
    <row r="95">
      <c r="G95" s="4"/>
    </row>
    <row r="96">
      <c r="G96" s="4"/>
    </row>
    <row r="97">
      <c r="G97" s="4"/>
    </row>
    <row r="98">
      <c r="G98" s="4"/>
    </row>
    <row r="99">
      <c r="G99" s="4"/>
    </row>
    <row r="100">
      <c r="G100" s="4"/>
    </row>
    <row r="101">
      <c r="G101" s="4"/>
    </row>
    <row r="102">
      <c r="G102" s="4"/>
    </row>
    <row r="103">
      <c r="G103" s="4"/>
    </row>
    <row r="104">
      <c r="G104" s="4"/>
    </row>
    <row r="105">
      <c r="G105" s="4"/>
    </row>
    <row r="106">
      <c r="G106" s="4"/>
    </row>
    <row r="107">
      <c r="G107" s="4"/>
    </row>
    <row r="108">
      <c r="G108" s="4"/>
    </row>
    <row r="109">
      <c r="G109" s="4"/>
    </row>
    <row r="110">
      <c r="G110" s="4"/>
    </row>
    <row r="111">
      <c r="G111" s="4"/>
    </row>
    <row r="112">
      <c r="G112" s="4"/>
    </row>
    <row r="113">
      <c r="G113" s="4"/>
    </row>
    <row r="114">
      <c r="G114" s="4"/>
    </row>
    <row r="115">
      <c r="G115" s="4"/>
    </row>
    <row r="116">
      <c r="G116" s="4"/>
    </row>
    <row r="117">
      <c r="G117" s="4"/>
    </row>
    <row r="118">
      <c r="G118" s="4"/>
    </row>
    <row r="119">
      <c r="G119" s="4"/>
    </row>
    <row r="120">
      <c r="G120" s="4"/>
    </row>
    <row r="121">
      <c r="G121" s="4"/>
    </row>
    <row r="122">
      <c r="G122" s="4"/>
    </row>
    <row r="123">
      <c r="G123" s="4"/>
    </row>
    <row r="124">
      <c r="G124" s="4"/>
    </row>
    <row r="125">
      <c r="G125" s="4"/>
    </row>
    <row r="126">
      <c r="G126" s="4"/>
    </row>
    <row r="127">
      <c r="G127" s="4"/>
    </row>
    <row r="128">
      <c r="G128" s="4"/>
    </row>
    <row r="129">
      <c r="G129" s="4"/>
    </row>
    <row r="130">
      <c r="G130" s="4"/>
    </row>
    <row r="131">
      <c r="G131" s="4"/>
    </row>
    <row r="132">
      <c r="G132" s="4"/>
    </row>
    <row r="133">
      <c r="G133" s="4"/>
    </row>
    <row r="134">
      <c r="G134" s="4"/>
    </row>
    <row r="135">
      <c r="G135" s="4"/>
    </row>
    <row r="136">
      <c r="G136" s="4"/>
    </row>
    <row r="137">
      <c r="G137" s="4"/>
    </row>
    <row r="138">
      <c r="G138" s="4"/>
    </row>
    <row r="139">
      <c r="G139" s="4"/>
    </row>
    <row r="140">
      <c r="G140" s="4"/>
    </row>
    <row r="141">
      <c r="G141" s="4"/>
    </row>
    <row r="142">
      <c r="G142" s="4"/>
    </row>
    <row r="143">
      <c r="G143" s="4"/>
    </row>
    <row r="144">
      <c r="G144" s="4"/>
    </row>
    <row r="145">
      <c r="G145" s="4"/>
    </row>
    <row r="146">
      <c r="G146" s="4"/>
    </row>
    <row r="147">
      <c r="G147" s="4"/>
    </row>
    <row r="148">
      <c r="G148" s="4"/>
    </row>
    <row r="149">
      <c r="G149" s="4"/>
    </row>
    <row r="150">
      <c r="G150" s="4"/>
    </row>
    <row r="151">
      <c r="G151" s="4"/>
    </row>
    <row r="152">
      <c r="G152" s="4"/>
    </row>
    <row r="153">
      <c r="G153" s="4"/>
    </row>
    <row r="154">
      <c r="G154" s="4"/>
    </row>
    <row r="155">
      <c r="G155" s="4"/>
    </row>
    <row r="156">
      <c r="G156" s="4"/>
    </row>
    <row r="157">
      <c r="G157" s="4"/>
    </row>
    <row r="158">
      <c r="G158" s="4"/>
    </row>
    <row r="159">
      <c r="G159" s="4"/>
    </row>
    <row r="160">
      <c r="G160" s="4"/>
    </row>
    <row r="161">
      <c r="G161" s="4"/>
    </row>
    <row r="162">
      <c r="G162" s="4"/>
    </row>
    <row r="163">
      <c r="G163" s="4"/>
    </row>
    <row r="164">
      <c r="G164" s="4"/>
    </row>
    <row r="165">
      <c r="G165" s="4"/>
    </row>
    <row r="166">
      <c r="G166" s="4"/>
    </row>
    <row r="167">
      <c r="G167" s="4"/>
    </row>
    <row r="168">
      <c r="G168" s="4"/>
    </row>
    <row r="169">
      <c r="G169" s="4"/>
    </row>
    <row r="170">
      <c r="G170" s="4"/>
    </row>
    <row r="171">
      <c r="G171" s="4"/>
    </row>
    <row r="172">
      <c r="G172" s="4"/>
    </row>
    <row r="173">
      <c r="G173" s="4"/>
    </row>
    <row r="174">
      <c r="G174" s="4"/>
    </row>
    <row r="175">
      <c r="G175" s="4"/>
    </row>
    <row r="176">
      <c r="G176" s="4"/>
    </row>
    <row r="177">
      <c r="G177" s="4"/>
    </row>
    <row r="178">
      <c r="G178" s="4"/>
    </row>
    <row r="179">
      <c r="G179" s="4"/>
    </row>
    <row r="180">
      <c r="G180" s="4"/>
    </row>
    <row r="181">
      <c r="G181" s="4"/>
    </row>
    <row r="182">
      <c r="G182" s="4"/>
    </row>
    <row r="183">
      <c r="G183" s="4"/>
    </row>
    <row r="184">
      <c r="G184" s="4"/>
    </row>
    <row r="185">
      <c r="G185" s="4"/>
    </row>
    <row r="186">
      <c r="G186" s="4"/>
    </row>
    <row r="187">
      <c r="G187" s="4"/>
    </row>
    <row r="188">
      <c r="G188" s="4"/>
    </row>
    <row r="189">
      <c r="G189" s="4"/>
    </row>
    <row r="190">
      <c r="G190" s="4"/>
    </row>
    <row r="191">
      <c r="G191" s="4"/>
    </row>
    <row r="192">
      <c r="G192" s="4"/>
    </row>
    <row r="193">
      <c r="G193" s="4"/>
    </row>
    <row r="194">
      <c r="G194" s="4"/>
    </row>
    <row r="195">
      <c r="G195" s="4"/>
    </row>
    <row r="196">
      <c r="G196" s="4"/>
    </row>
    <row r="197">
      <c r="G197" s="4"/>
    </row>
    <row r="198">
      <c r="G198" s="4"/>
    </row>
    <row r="199">
      <c r="G199" s="4"/>
    </row>
    <row r="200">
      <c r="G200" s="4"/>
    </row>
    <row r="201">
      <c r="G201" s="4"/>
    </row>
    <row r="202">
      <c r="G202" s="4"/>
    </row>
    <row r="203">
      <c r="G203" s="4"/>
    </row>
    <row r="204">
      <c r="G204" s="4"/>
    </row>
    <row r="205">
      <c r="G205" s="4"/>
    </row>
    <row r="206">
      <c r="G206" s="4"/>
    </row>
    <row r="207">
      <c r="G207" s="4"/>
    </row>
    <row r="208">
      <c r="G208" s="4"/>
    </row>
    <row r="209">
      <c r="G209" s="4"/>
    </row>
    <row r="210">
      <c r="G210" s="4"/>
    </row>
    <row r="211">
      <c r="G211" s="4"/>
    </row>
    <row r="212">
      <c r="G212" s="4"/>
    </row>
    <row r="213">
      <c r="G213" s="4"/>
    </row>
    <row r="214">
      <c r="G214" s="4"/>
    </row>
    <row r="215">
      <c r="G215" s="4"/>
    </row>
    <row r="216">
      <c r="G216" s="4"/>
    </row>
    <row r="217">
      <c r="G217" s="4"/>
    </row>
    <row r="218">
      <c r="G218" s="4"/>
    </row>
    <row r="219">
      <c r="G219" s="4"/>
    </row>
    <row r="220">
      <c r="G220" s="4"/>
    </row>
    <row r="221">
      <c r="G221" s="4"/>
    </row>
    <row r="222">
      <c r="G222" s="4"/>
    </row>
    <row r="223">
      <c r="G223" s="4"/>
    </row>
    <row r="224">
      <c r="G224" s="4"/>
    </row>
    <row r="225">
      <c r="G225" s="4"/>
    </row>
    <row r="226">
      <c r="G226" s="4"/>
    </row>
    <row r="227">
      <c r="G227" s="4"/>
    </row>
    <row r="228">
      <c r="G228" s="4"/>
    </row>
    <row r="229">
      <c r="G229" s="4"/>
    </row>
    <row r="230">
      <c r="G230" s="4"/>
    </row>
    <row r="231">
      <c r="G231" s="4"/>
    </row>
    <row r="232">
      <c r="G232" s="4"/>
    </row>
    <row r="233">
      <c r="G233" s="4"/>
    </row>
    <row r="234">
      <c r="G234" s="4"/>
    </row>
    <row r="235">
      <c r="G235" s="4"/>
    </row>
    <row r="236">
      <c r="G236" s="4"/>
    </row>
    <row r="237">
      <c r="G237" s="4"/>
    </row>
    <row r="238">
      <c r="G238" s="4"/>
    </row>
    <row r="239">
      <c r="G239" s="4"/>
    </row>
    <row r="240">
      <c r="G240" s="4"/>
    </row>
    <row r="241">
      <c r="G241" s="4"/>
    </row>
    <row r="242">
      <c r="G242" s="4"/>
    </row>
    <row r="243">
      <c r="G243" s="4"/>
    </row>
    <row r="244">
      <c r="G244" s="4"/>
    </row>
    <row r="245">
      <c r="G245" s="4"/>
    </row>
    <row r="246">
      <c r="G246" s="4"/>
    </row>
    <row r="247">
      <c r="G247" s="4"/>
    </row>
    <row r="248">
      <c r="G248" s="4"/>
    </row>
    <row r="249">
      <c r="G249" s="4"/>
    </row>
    <row r="250">
      <c r="G250" s="4"/>
    </row>
    <row r="251">
      <c r="G251" s="4"/>
    </row>
    <row r="252">
      <c r="G252" s="4"/>
    </row>
    <row r="253">
      <c r="G253" s="4"/>
    </row>
    <row r="254">
      <c r="G254" s="4"/>
    </row>
    <row r="255">
      <c r="G255" s="4"/>
    </row>
    <row r="256">
      <c r="G256" s="4"/>
    </row>
    <row r="257">
      <c r="G257" s="4"/>
    </row>
    <row r="258">
      <c r="G258" s="4"/>
    </row>
    <row r="259">
      <c r="G259" s="4"/>
    </row>
    <row r="260">
      <c r="G260" s="4"/>
    </row>
    <row r="261">
      <c r="G261" s="4"/>
    </row>
    <row r="262">
      <c r="G262" s="4"/>
    </row>
    <row r="263">
      <c r="G263" s="4"/>
    </row>
    <row r="264">
      <c r="G264" s="4"/>
    </row>
    <row r="265">
      <c r="G265" s="4"/>
    </row>
    <row r="266">
      <c r="G266" s="4"/>
    </row>
    <row r="267">
      <c r="G267" s="4"/>
    </row>
    <row r="268">
      <c r="G268" s="4"/>
    </row>
    <row r="269">
      <c r="G269" s="4"/>
    </row>
    <row r="270">
      <c r="G270" s="4"/>
    </row>
    <row r="271">
      <c r="G271" s="4"/>
    </row>
    <row r="272">
      <c r="G272" s="4"/>
    </row>
    <row r="273">
      <c r="G273" s="4"/>
    </row>
    <row r="274">
      <c r="G274" s="4"/>
    </row>
    <row r="275">
      <c r="G275" s="4"/>
    </row>
    <row r="276">
      <c r="G276" s="4"/>
    </row>
    <row r="277">
      <c r="G277" s="4"/>
    </row>
    <row r="278">
      <c r="G278" s="4"/>
    </row>
    <row r="279">
      <c r="G279" s="4"/>
    </row>
    <row r="280">
      <c r="G280" s="4"/>
    </row>
    <row r="281">
      <c r="G281" s="4"/>
    </row>
    <row r="282">
      <c r="G282" s="4"/>
    </row>
    <row r="283">
      <c r="G283" s="4"/>
    </row>
    <row r="284">
      <c r="G284" s="4"/>
    </row>
    <row r="285">
      <c r="G285" s="4"/>
    </row>
    <row r="286">
      <c r="G286" s="4"/>
    </row>
    <row r="287">
      <c r="G287" s="4"/>
    </row>
    <row r="288">
      <c r="G288" s="4"/>
    </row>
    <row r="289">
      <c r="G289" s="4"/>
    </row>
    <row r="290">
      <c r="G290" s="4"/>
    </row>
    <row r="291">
      <c r="G291" s="4"/>
    </row>
    <row r="292">
      <c r="G292" s="4"/>
    </row>
    <row r="293">
      <c r="G293" s="4"/>
    </row>
    <row r="294">
      <c r="G294" s="4"/>
    </row>
    <row r="295">
      <c r="G295" s="4"/>
    </row>
    <row r="296">
      <c r="G296" s="4"/>
    </row>
    <row r="297">
      <c r="G297" s="4"/>
    </row>
    <row r="298">
      <c r="G298" s="4"/>
    </row>
    <row r="299">
      <c r="G299" s="4"/>
    </row>
    <row r="300">
      <c r="G300" s="4"/>
    </row>
    <row r="301">
      <c r="G301" s="4"/>
    </row>
    <row r="302">
      <c r="G302" s="4"/>
    </row>
    <row r="303">
      <c r="G303" s="4"/>
    </row>
    <row r="304">
      <c r="G304" s="4"/>
    </row>
    <row r="305">
      <c r="G305" s="4"/>
    </row>
    <row r="306">
      <c r="G306" s="4"/>
    </row>
    <row r="307">
      <c r="G307" s="4"/>
    </row>
    <row r="308">
      <c r="G308" s="4"/>
    </row>
    <row r="309">
      <c r="G309" s="4"/>
    </row>
    <row r="310">
      <c r="G310" s="4"/>
    </row>
    <row r="311">
      <c r="G311" s="4"/>
    </row>
    <row r="312">
      <c r="G312" s="4"/>
    </row>
    <row r="313">
      <c r="G313" s="4"/>
    </row>
    <row r="314">
      <c r="G314" s="4"/>
    </row>
    <row r="315">
      <c r="G315" s="4"/>
    </row>
    <row r="316">
      <c r="G316" s="4"/>
    </row>
    <row r="317">
      <c r="G317" s="4"/>
    </row>
    <row r="318">
      <c r="G318" s="4"/>
    </row>
    <row r="319">
      <c r="G319" s="4"/>
    </row>
    <row r="320">
      <c r="G320" s="4"/>
    </row>
    <row r="321">
      <c r="G321" s="4"/>
    </row>
    <row r="322">
      <c r="G322" s="4"/>
    </row>
    <row r="323">
      <c r="G323" s="4"/>
    </row>
    <row r="324">
      <c r="G324" s="4"/>
    </row>
    <row r="325">
      <c r="G325" s="4"/>
    </row>
    <row r="326">
      <c r="G326" s="4"/>
    </row>
    <row r="327">
      <c r="G327" s="4"/>
    </row>
    <row r="328">
      <c r="G328" s="4"/>
    </row>
    <row r="329">
      <c r="G329" s="4"/>
    </row>
    <row r="330">
      <c r="G330" s="4"/>
    </row>
    <row r="331">
      <c r="G331" s="4"/>
    </row>
    <row r="332">
      <c r="G332" s="4"/>
    </row>
    <row r="333">
      <c r="G333" s="4"/>
    </row>
    <row r="334">
      <c r="G334" s="4"/>
    </row>
    <row r="335">
      <c r="G335" s="4"/>
    </row>
    <row r="336">
      <c r="G336" s="4"/>
    </row>
    <row r="337">
      <c r="G337" s="4"/>
    </row>
    <row r="338">
      <c r="G338" s="4"/>
    </row>
    <row r="339">
      <c r="G339" s="4"/>
    </row>
    <row r="340">
      <c r="G340" s="4"/>
    </row>
    <row r="341">
      <c r="G341" s="4"/>
    </row>
    <row r="342">
      <c r="G342" s="4"/>
    </row>
    <row r="343">
      <c r="G343" s="4"/>
    </row>
    <row r="344">
      <c r="G344" s="4"/>
    </row>
    <row r="345">
      <c r="G345" s="4"/>
    </row>
    <row r="346">
      <c r="G346" s="4"/>
    </row>
    <row r="347">
      <c r="G347" s="4"/>
    </row>
    <row r="348">
      <c r="G348" s="4"/>
    </row>
    <row r="349">
      <c r="G349" s="4"/>
    </row>
    <row r="350">
      <c r="G350" s="4"/>
    </row>
    <row r="351">
      <c r="G351" s="4"/>
    </row>
    <row r="352">
      <c r="G352" s="4"/>
    </row>
    <row r="353">
      <c r="G353" s="4"/>
    </row>
    <row r="354">
      <c r="G354" s="4"/>
    </row>
    <row r="355">
      <c r="G355" s="4"/>
    </row>
    <row r="356">
      <c r="G356" s="4"/>
    </row>
    <row r="357">
      <c r="G357" s="4"/>
    </row>
    <row r="358">
      <c r="G358" s="4"/>
    </row>
    <row r="359">
      <c r="G359" s="4"/>
    </row>
    <row r="360">
      <c r="G360" s="4"/>
    </row>
    <row r="361">
      <c r="G361" s="4"/>
    </row>
    <row r="362">
      <c r="G362" s="4"/>
    </row>
    <row r="363">
      <c r="G363" s="4"/>
    </row>
    <row r="364">
      <c r="G364" s="4"/>
    </row>
    <row r="365">
      <c r="G365" s="4"/>
    </row>
    <row r="366">
      <c r="G366" s="4"/>
    </row>
    <row r="367">
      <c r="G367" s="4"/>
    </row>
    <row r="368">
      <c r="G368" s="4"/>
    </row>
    <row r="369">
      <c r="G369" s="4"/>
    </row>
    <row r="370">
      <c r="G370" s="4"/>
    </row>
    <row r="371">
      <c r="G371" s="4"/>
    </row>
    <row r="372">
      <c r="G372" s="4"/>
    </row>
    <row r="373">
      <c r="G373" s="4"/>
    </row>
    <row r="374">
      <c r="G374" s="4"/>
    </row>
    <row r="375">
      <c r="G375" s="4"/>
    </row>
    <row r="376">
      <c r="G376" s="4"/>
    </row>
    <row r="377">
      <c r="G377" s="4"/>
    </row>
    <row r="378">
      <c r="G378" s="4"/>
    </row>
    <row r="379">
      <c r="G379" s="4"/>
    </row>
    <row r="380">
      <c r="G380" s="4"/>
    </row>
    <row r="381">
      <c r="G381" s="4"/>
    </row>
    <row r="382">
      <c r="G382" s="4"/>
    </row>
    <row r="383">
      <c r="G383" s="4"/>
    </row>
    <row r="384">
      <c r="G384" s="4"/>
    </row>
    <row r="385">
      <c r="G385" s="4"/>
    </row>
    <row r="386">
      <c r="G386" s="4"/>
    </row>
    <row r="387">
      <c r="G387" s="4"/>
    </row>
    <row r="388">
      <c r="G388" s="4"/>
    </row>
    <row r="389">
      <c r="G389" s="4"/>
    </row>
    <row r="390">
      <c r="G390" s="4"/>
    </row>
    <row r="391">
      <c r="G391" s="4"/>
    </row>
    <row r="392">
      <c r="G392" s="4"/>
    </row>
    <row r="393">
      <c r="G393" s="4"/>
    </row>
    <row r="394">
      <c r="G394" s="4"/>
    </row>
    <row r="395">
      <c r="G395" s="4"/>
    </row>
    <row r="396">
      <c r="G396" s="4"/>
    </row>
    <row r="397">
      <c r="G397" s="4"/>
    </row>
    <row r="398">
      <c r="G398" s="4"/>
    </row>
    <row r="399">
      <c r="G399" s="4"/>
    </row>
    <row r="400">
      <c r="G400" s="4"/>
    </row>
    <row r="401">
      <c r="G401" s="4"/>
    </row>
    <row r="402">
      <c r="G402" s="4"/>
    </row>
    <row r="403">
      <c r="G403" s="4"/>
    </row>
    <row r="404">
      <c r="G404" s="4"/>
    </row>
    <row r="405">
      <c r="G405" s="4"/>
    </row>
    <row r="406">
      <c r="G406" s="4"/>
    </row>
    <row r="407">
      <c r="G407" s="4"/>
    </row>
    <row r="408">
      <c r="G408" s="4"/>
    </row>
    <row r="409">
      <c r="G409" s="4"/>
    </row>
    <row r="410">
      <c r="G410" s="4"/>
    </row>
    <row r="411">
      <c r="G411" s="4"/>
    </row>
    <row r="412">
      <c r="G412" s="4"/>
    </row>
    <row r="413">
      <c r="G413" s="4"/>
    </row>
    <row r="414">
      <c r="G414" s="4"/>
    </row>
    <row r="415">
      <c r="G415" s="4"/>
    </row>
    <row r="416">
      <c r="G416" s="4"/>
    </row>
    <row r="417">
      <c r="G417" s="4"/>
    </row>
    <row r="418">
      <c r="G418" s="4"/>
    </row>
    <row r="419">
      <c r="G419" s="4"/>
    </row>
    <row r="420">
      <c r="G420" s="4"/>
    </row>
    <row r="421">
      <c r="G421" s="4"/>
    </row>
    <row r="422">
      <c r="G422" s="4"/>
    </row>
    <row r="423">
      <c r="G423" s="4"/>
    </row>
    <row r="424">
      <c r="G424" s="4"/>
    </row>
    <row r="425">
      <c r="G425" s="4"/>
    </row>
    <row r="426">
      <c r="G426" s="4"/>
    </row>
    <row r="427">
      <c r="G427" s="4"/>
    </row>
    <row r="428">
      <c r="G428" s="4"/>
    </row>
    <row r="429">
      <c r="G429" s="4"/>
    </row>
    <row r="430">
      <c r="G430" s="4"/>
    </row>
    <row r="431">
      <c r="G431" s="4"/>
    </row>
    <row r="432">
      <c r="G432" s="4"/>
    </row>
    <row r="433">
      <c r="G433" s="4"/>
    </row>
    <row r="434">
      <c r="G434" s="4"/>
    </row>
    <row r="435">
      <c r="G435" s="4"/>
    </row>
    <row r="436">
      <c r="G436" s="4"/>
    </row>
    <row r="437">
      <c r="G437" s="4"/>
    </row>
    <row r="438">
      <c r="G438" s="4"/>
    </row>
    <row r="439">
      <c r="G439" s="4"/>
    </row>
    <row r="440">
      <c r="G440" s="4"/>
    </row>
    <row r="441">
      <c r="G441" s="4"/>
    </row>
    <row r="442">
      <c r="G442" s="4"/>
    </row>
    <row r="443">
      <c r="G443" s="4"/>
    </row>
    <row r="444">
      <c r="G444" s="4"/>
    </row>
    <row r="445">
      <c r="G445" s="4"/>
    </row>
    <row r="446">
      <c r="G446" s="4"/>
    </row>
    <row r="447">
      <c r="G447" s="4"/>
    </row>
    <row r="448">
      <c r="G448" s="4"/>
    </row>
    <row r="449">
      <c r="G449" s="4"/>
    </row>
    <row r="450">
      <c r="G450" s="4"/>
    </row>
    <row r="451">
      <c r="G451" s="4"/>
    </row>
    <row r="452">
      <c r="G452" s="4"/>
    </row>
    <row r="453">
      <c r="G453" s="4"/>
    </row>
    <row r="454">
      <c r="G454" s="4"/>
    </row>
    <row r="455">
      <c r="G455" s="4"/>
    </row>
    <row r="456">
      <c r="G456" s="4"/>
    </row>
    <row r="457">
      <c r="G457" s="4"/>
    </row>
    <row r="458">
      <c r="G458" s="4"/>
    </row>
    <row r="459">
      <c r="G459" s="4"/>
    </row>
    <row r="460">
      <c r="G460" s="4"/>
    </row>
    <row r="461">
      <c r="G461" s="4"/>
    </row>
    <row r="462">
      <c r="G462" s="4"/>
    </row>
    <row r="463">
      <c r="G463" s="4"/>
    </row>
    <row r="464">
      <c r="G464" s="4"/>
    </row>
    <row r="465">
      <c r="G465" s="4"/>
    </row>
    <row r="466">
      <c r="G466" s="4"/>
    </row>
    <row r="467">
      <c r="G467" s="4"/>
    </row>
    <row r="468">
      <c r="G468" s="4"/>
    </row>
    <row r="469">
      <c r="G469" s="4"/>
    </row>
    <row r="470">
      <c r="G470" s="4"/>
    </row>
    <row r="471">
      <c r="G471" s="4"/>
    </row>
    <row r="472">
      <c r="G472" s="4"/>
    </row>
    <row r="473">
      <c r="G473" s="4"/>
    </row>
    <row r="474">
      <c r="G474" s="4"/>
    </row>
    <row r="475">
      <c r="G475" s="4"/>
    </row>
    <row r="476">
      <c r="G476" s="4"/>
    </row>
    <row r="477">
      <c r="G477" s="4"/>
    </row>
    <row r="478">
      <c r="G478" s="4"/>
    </row>
    <row r="479">
      <c r="G479" s="4"/>
    </row>
    <row r="480">
      <c r="G480" s="4"/>
    </row>
    <row r="481">
      <c r="G481" s="4"/>
    </row>
    <row r="482">
      <c r="G482" s="4"/>
    </row>
    <row r="483">
      <c r="G483" s="4"/>
    </row>
    <row r="484">
      <c r="G484" s="4"/>
    </row>
    <row r="485">
      <c r="G485" s="4"/>
    </row>
    <row r="486">
      <c r="G486" s="4"/>
    </row>
    <row r="487">
      <c r="G487" s="4"/>
    </row>
    <row r="488">
      <c r="G488" s="4"/>
    </row>
    <row r="489">
      <c r="G489" s="4"/>
    </row>
    <row r="490">
      <c r="G490" s="4"/>
    </row>
    <row r="491">
      <c r="G491" s="4"/>
    </row>
    <row r="492">
      <c r="G492" s="4"/>
    </row>
    <row r="493">
      <c r="G493" s="4"/>
    </row>
    <row r="494">
      <c r="G494" s="4"/>
    </row>
    <row r="495">
      <c r="G495" s="4"/>
    </row>
    <row r="496">
      <c r="G496" s="4"/>
    </row>
    <row r="497">
      <c r="G497" s="4"/>
    </row>
    <row r="498">
      <c r="G498" s="4"/>
    </row>
    <row r="499">
      <c r="G499" s="4"/>
    </row>
    <row r="500">
      <c r="G500" s="4"/>
    </row>
    <row r="501">
      <c r="G501" s="4"/>
    </row>
    <row r="502">
      <c r="G502" s="4"/>
    </row>
    <row r="503">
      <c r="G503" s="4"/>
    </row>
    <row r="504">
      <c r="G504" s="4"/>
    </row>
    <row r="505">
      <c r="G505" s="4"/>
    </row>
    <row r="506">
      <c r="G506" s="4"/>
    </row>
    <row r="507">
      <c r="G507" s="4"/>
    </row>
    <row r="508">
      <c r="G508" s="4"/>
    </row>
    <row r="509">
      <c r="G509" s="4"/>
    </row>
    <row r="510">
      <c r="G510" s="4"/>
    </row>
    <row r="511">
      <c r="G511" s="4"/>
    </row>
    <row r="512">
      <c r="G512" s="4"/>
    </row>
    <row r="513">
      <c r="G513" s="4"/>
    </row>
    <row r="514">
      <c r="G514" s="4"/>
    </row>
    <row r="515">
      <c r="G515" s="4"/>
    </row>
    <row r="516">
      <c r="G516" s="4"/>
    </row>
    <row r="517">
      <c r="G517" s="4"/>
    </row>
    <row r="518">
      <c r="G518" s="4"/>
    </row>
    <row r="519">
      <c r="G519" s="4"/>
    </row>
    <row r="520">
      <c r="G520" s="4"/>
    </row>
    <row r="521">
      <c r="G521" s="4"/>
    </row>
    <row r="522">
      <c r="G522" s="4"/>
    </row>
    <row r="523">
      <c r="G523" s="4"/>
    </row>
    <row r="524">
      <c r="G524" s="4"/>
    </row>
    <row r="525">
      <c r="G525" s="4"/>
    </row>
    <row r="526">
      <c r="G526" s="4"/>
    </row>
    <row r="527">
      <c r="G527" s="4"/>
    </row>
    <row r="528">
      <c r="G528" s="4"/>
    </row>
    <row r="529">
      <c r="G529" s="4"/>
    </row>
    <row r="530">
      <c r="G530" s="4"/>
    </row>
    <row r="531">
      <c r="G531" s="4"/>
    </row>
    <row r="532">
      <c r="G532" s="4"/>
    </row>
    <row r="533">
      <c r="G533" s="4"/>
    </row>
    <row r="534">
      <c r="G534" s="4"/>
    </row>
    <row r="535">
      <c r="G535" s="4"/>
    </row>
    <row r="536">
      <c r="G536" s="4"/>
    </row>
    <row r="537">
      <c r="G537" s="4"/>
    </row>
    <row r="538">
      <c r="G538" s="4"/>
    </row>
    <row r="539">
      <c r="G539" s="4"/>
    </row>
    <row r="540">
      <c r="G540" s="4"/>
    </row>
    <row r="541">
      <c r="G541" s="4"/>
    </row>
    <row r="542">
      <c r="G542" s="4"/>
    </row>
    <row r="543">
      <c r="G543" s="4"/>
    </row>
    <row r="544">
      <c r="G544" s="4"/>
    </row>
    <row r="545">
      <c r="G545" s="4"/>
    </row>
    <row r="546">
      <c r="G546" s="4"/>
    </row>
    <row r="547">
      <c r="G547" s="4"/>
    </row>
    <row r="548">
      <c r="G548" s="4"/>
    </row>
    <row r="549">
      <c r="G549" s="4"/>
    </row>
    <row r="550">
      <c r="G550" s="4"/>
    </row>
    <row r="551">
      <c r="G551" s="4"/>
    </row>
    <row r="552">
      <c r="G552" s="4"/>
    </row>
    <row r="553">
      <c r="G553" s="4"/>
    </row>
    <row r="554">
      <c r="G554" s="4"/>
    </row>
    <row r="555">
      <c r="G555" s="4"/>
    </row>
    <row r="556">
      <c r="G556" s="4"/>
    </row>
    <row r="557">
      <c r="G557" s="4"/>
    </row>
    <row r="558">
      <c r="G558" s="4"/>
    </row>
    <row r="559">
      <c r="G559" s="4"/>
    </row>
    <row r="560">
      <c r="G560" s="4"/>
    </row>
    <row r="561">
      <c r="G561" s="4"/>
    </row>
    <row r="562">
      <c r="G562" s="4"/>
    </row>
    <row r="563">
      <c r="G563" s="4"/>
    </row>
    <row r="564">
      <c r="G564" s="4"/>
    </row>
    <row r="565">
      <c r="G565" s="4"/>
    </row>
    <row r="566">
      <c r="G566" s="4"/>
    </row>
    <row r="567">
      <c r="G567" s="4"/>
    </row>
    <row r="568">
      <c r="G568" s="4"/>
    </row>
    <row r="569">
      <c r="G569" s="4"/>
    </row>
    <row r="570">
      <c r="G570" s="4"/>
    </row>
    <row r="571">
      <c r="G571" s="4"/>
    </row>
    <row r="572">
      <c r="G572" s="4"/>
    </row>
    <row r="573">
      <c r="G573" s="4"/>
    </row>
    <row r="574">
      <c r="G574" s="4"/>
    </row>
    <row r="575">
      <c r="G575" s="4"/>
    </row>
    <row r="576">
      <c r="G576" s="4"/>
    </row>
    <row r="577">
      <c r="G577" s="4"/>
    </row>
    <row r="578">
      <c r="G578" s="4"/>
    </row>
    <row r="579">
      <c r="G579" s="4"/>
    </row>
    <row r="580">
      <c r="G580" s="4"/>
    </row>
    <row r="581">
      <c r="G581" s="4"/>
    </row>
    <row r="582">
      <c r="G582" s="4"/>
    </row>
    <row r="583">
      <c r="G583" s="4"/>
    </row>
    <row r="584">
      <c r="G584" s="4"/>
    </row>
    <row r="585">
      <c r="G585" s="4"/>
    </row>
    <row r="586">
      <c r="G586" s="4"/>
    </row>
    <row r="587">
      <c r="G587" s="4"/>
    </row>
    <row r="588">
      <c r="G588" s="4"/>
    </row>
    <row r="589">
      <c r="G589" s="4"/>
    </row>
    <row r="590">
      <c r="G590" s="4"/>
    </row>
    <row r="591">
      <c r="G591" s="4"/>
    </row>
    <row r="592">
      <c r="G592" s="4"/>
    </row>
    <row r="593">
      <c r="G593" s="4"/>
    </row>
    <row r="594">
      <c r="G594" s="4"/>
    </row>
    <row r="595">
      <c r="G595" s="4"/>
    </row>
    <row r="596">
      <c r="G596" s="4"/>
    </row>
    <row r="597">
      <c r="G597" s="4"/>
    </row>
    <row r="598">
      <c r="G598" s="4"/>
    </row>
    <row r="599">
      <c r="G599" s="4"/>
    </row>
    <row r="600">
      <c r="G600" s="4"/>
    </row>
    <row r="601">
      <c r="G601" s="4"/>
    </row>
    <row r="602">
      <c r="G602" s="4"/>
    </row>
    <row r="603">
      <c r="G603" s="4"/>
    </row>
    <row r="604">
      <c r="G604" s="4"/>
    </row>
    <row r="605">
      <c r="G605" s="4"/>
    </row>
    <row r="606">
      <c r="G606" s="4"/>
    </row>
    <row r="607">
      <c r="G607" s="4"/>
    </row>
    <row r="608">
      <c r="G608" s="4"/>
    </row>
    <row r="609">
      <c r="G609" s="4"/>
    </row>
    <row r="610">
      <c r="G610" s="4"/>
    </row>
    <row r="611">
      <c r="G611" s="4"/>
    </row>
    <row r="612">
      <c r="G612" s="4"/>
    </row>
    <row r="613">
      <c r="G613" s="4"/>
    </row>
    <row r="614">
      <c r="G614" s="4"/>
    </row>
    <row r="615">
      <c r="G615" s="4"/>
    </row>
    <row r="616">
      <c r="G616" s="4"/>
    </row>
    <row r="617">
      <c r="G617" s="4"/>
    </row>
    <row r="618">
      <c r="G618" s="4"/>
    </row>
    <row r="619">
      <c r="G619" s="4"/>
    </row>
    <row r="620">
      <c r="G620" s="4"/>
    </row>
    <row r="621">
      <c r="G621" s="4"/>
    </row>
    <row r="622">
      <c r="G622" s="4"/>
    </row>
    <row r="623">
      <c r="G623" s="4"/>
    </row>
    <row r="624">
      <c r="G624" s="4"/>
    </row>
    <row r="625">
      <c r="G625" s="4"/>
    </row>
    <row r="626">
      <c r="G626" s="4"/>
    </row>
    <row r="627">
      <c r="G627" s="4"/>
    </row>
    <row r="628">
      <c r="G628" s="4"/>
    </row>
    <row r="629">
      <c r="G629" s="4"/>
    </row>
    <row r="630">
      <c r="G630" s="4"/>
    </row>
    <row r="631">
      <c r="G631" s="4"/>
    </row>
    <row r="632">
      <c r="G632" s="4"/>
    </row>
    <row r="633">
      <c r="G633" s="4"/>
    </row>
    <row r="634">
      <c r="G634" s="4"/>
    </row>
    <row r="635">
      <c r="G635" s="4"/>
    </row>
    <row r="636">
      <c r="G636" s="4"/>
    </row>
    <row r="637">
      <c r="G637" s="4"/>
    </row>
    <row r="638">
      <c r="G638" s="4"/>
    </row>
    <row r="639">
      <c r="G639" s="4"/>
    </row>
    <row r="640">
      <c r="G640" s="4"/>
    </row>
    <row r="641">
      <c r="G641" s="4"/>
    </row>
    <row r="642">
      <c r="G642" s="4"/>
    </row>
    <row r="643">
      <c r="G643" s="4"/>
    </row>
    <row r="644">
      <c r="G644" s="4"/>
    </row>
    <row r="645">
      <c r="G645" s="4"/>
    </row>
    <row r="646">
      <c r="G646" s="4"/>
    </row>
    <row r="647">
      <c r="G647" s="4"/>
    </row>
    <row r="648">
      <c r="G648" s="4"/>
    </row>
    <row r="649">
      <c r="G649" s="4"/>
    </row>
    <row r="650">
      <c r="G650" s="4"/>
    </row>
    <row r="651">
      <c r="G651" s="4"/>
    </row>
    <row r="652">
      <c r="G652" s="4"/>
    </row>
    <row r="653">
      <c r="G653" s="4"/>
    </row>
    <row r="654">
      <c r="G654" s="4"/>
    </row>
    <row r="655">
      <c r="G655" s="4"/>
    </row>
    <row r="656">
      <c r="G656" s="4"/>
    </row>
    <row r="657">
      <c r="G657" s="4"/>
    </row>
    <row r="658">
      <c r="G658" s="4"/>
    </row>
    <row r="659">
      <c r="G659" s="4"/>
    </row>
    <row r="660">
      <c r="G660" s="4"/>
    </row>
    <row r="661">
      <c r="G661" s="4"/>
    </row>
    <row r="662">
      <c r="G662" s="4"/>
    </row>
    <row r="663">
      <c r="G663" s="4"/>
    </row>
    <row r="664">
      <c r="G664" s="4"/>
    </row>
    <row r="665">
      <c r="G665" s="4"/>
    </row>
    <row r="666">
      <c r="G666" s="4"/>
    </row>
    <row r="667">
      <c r="G667" s="4"/>
    </row>
    <row r="668">
      <c r="G668" s="4"/>
    </row>
    <row r="669">
      <c r="G669" s="4"/>
    </row>
    <row r="670">
      <c r="G670" s="4"/>
    </row>
    <row r="671">
      <c r="G671" s="4"/>
    </row>
    <row r="672">
      <c r="G672" s="4"/>
    </row>
    <row r="673">
      <c r="G673" s="4"/>
    </row>
    <row r="674">
      <c r="G674" s="4"/>
    </row>
    <row r="675">
      <c r="G675" s="4"/>
    </row>
    <row r="676">
      <c r="G676" s="4"/>
    </row>
    <row r="677">
      <c r="G677" s="4"/>
    </row>
    <row r="678">
      <c r="G678" s="4"/>
    </row>
    <row r="679">
      <c r="G679" s="4"/>
    </row>
    <row r="680">
      <c r="G680" s="4"/>
    </row>
    <row r="681">
      <c r="G681" s="4"/>
    </row>
    <row r="682">
      <c r="G682" s="4"/>
    </row>
    <row r="683">
      <c r="G683" s="4"/>
    </row>
    <row r="684">
      <c r="G684" s="4"/>
    </row>
    <row r="685">
      <c r="G685" s="4"/>
    </row>
    <row r="686">
      <c r="G686" s="4"/>
    </row>
    <row r="687">
      <c r="G687" s="4"/>
    </row>
    <row r="688">
      <c r="G688" s="4"/>
    </row>
    <row r="689">
      <c r="G689" s="4"/>
    </row>
    <row r="690">
      <c r="G690" s="4"/>
    </row>
    <row r="691">
      <c r="G691" s="4"/>
    </row>
    <row r="692">
      <c r="G692" s="4"/>
    </row>
    <row r="693">
      <c r="G693" s="4"/>
    </row>
    <row r="694">
      <c r="G694" s="4"/>
    </row>
    <row r="695">
      <c r="G695" s="4"/>
    </row>
    <row r="696">
      <c r="G696" s="4"/>
    </row>
    <row r="697">
      <c r="G697" s="4"/>
    </row>
    <row r="698">
      <c r="G698" s="4"/>
    </row>
    <row r="699">
      <c r="G699" s="4"/>
    </row>
    <row r="700">
      <c r="G700" s="4"/>
    </row>
    <row r="701">
      <c r="G701" s="4"/>
    </row>
    <row r="702">
      <c r="G702" s="4"/>
    </row>
    <row r="703">
      <c r="G703" s="4"/>
    </row>
    <row r="704">
      <c r="G704" s="4"/>
    </row>
    <row r="705">
      <c r="G705" s="4"/>
    </row>
    <row r="706">
      <c r="G706" s="4"/>
    </row>
    <row r="707">
      <c r="G707" s="4"/>
    </row>
    <row r="708">
      <c r="G708" s="4"/>
    </row>
    <row r="709">
      <c r="G709" s="4"/>
    </row>
    <row r="710">
      <c r="G710" s="4"/>
    </row>
    <row r="711">
      <c r="G711" s="4"/>
    </row>
    <row r="712">
      <c r="G712" s="4"/>
    </row>
    <row r="713">
      <c r="G713" s="4"/>
    </row>
    <row r="714">
      <c r="G714" s="4"/>
    </row>
    <row r="715">
      <c r="G715" s="4"/>
    </row>
    <row r="716">
      <c r="G716" s="4"/>
    </row>
    <row r="717">
      <c r="G717" s="4"/>
    </row>
    <row r="718">
      <c r="G718" s="4"/>
    </row>
    <row r="719">
      <c r="G719" s="4"/>
    </row>
    <row r="720">
      <c r="G720" s="4"/>
    </row>
    <row r="721">
      <c r="G721" s="4"/>
    </row>
    <row r="722">
      <c r="G722" s="4"/>
    </row>
    <row r="723">
      <c r="G723" s="4"/>
    </row>
    <row r="724">
      <c r="G724" s="4"/>
    </row>
    <row r="725">
      <c r="G725" s="4"/>
    </row>
    <row r="726">
      <c r="G726" s="4"/>
    </row>
    <row r="727">
      <c r="G727" s="4"/>
    </row>
    <row r="728">
      <c r="G728" s="4"/>
    </row>
    <row r="729">
      <c r="G729" s="4"/>
    </row>
    <row r="730">
      <c r="G730" s="4"/>
    </row>
    <row r="731">
      <c r="G731" s="4"/>
    </row>
    <row r="732">
      <c r="G732" s="4"/>
    </row>
    <row r="733">
      <c r="G733" s="4"/>
    </row>
    <row r="734">
      <c r="G734" s="4"/>
    </row>
    <row r="735">
      <c r="G735" s="4"/>
    </row>
    <row r="736">
      <c r="G736" s="4"/>
    </row>
    <row r="737">
      <c r="G737" s="4"/>
    </row>
    <row r="738">
      <c r="G738" s="4"/>
    </row>
    <row r="739">
      <c r="G739" s="4"/>
    </row>
    <row r="740">
      <c r="G740" s="4"/>
    </row>
    <row r="741">
      <c r="G741" s="4"/>
    </row>
    <row r="742">
      <c r="G742" s="4"/>
    </row>
    <row r="743">
      <c r="G743" s="4"/>
    </row>
    <row r="744">
      <c r="G744" s="4"/>
    </row>
    <row r="745">
      <c r="G745" s="4"/>
    </row>
    <row r="746">
      <c r="G746" s="4"/>
    </row>
    <row r="747">
      <c r="G747" s="4"/>
    </row>
    <row r="748">
      <c r="G748" s="4"/>
    </row>
    <row r="749">
      <c r="G749" s="4"/>
    </row>
    <row r="750">
      <c r="G750" s="4"/>
    </row>
    <row r="751">
      <c r="G751" s="4"/>
    </row>
    <row r="752">
      <c r="G752" s="4"/>
    </row>
    <row r="753">
      <c r="G753" s="4"/>
    </row>
    <row r="754">
      <c r="G754" s="4"/>
    </row>
    <row r="755">
      <c r="G755" s="4"/>
    </row>
    <row r="756">
      <c r="G756" s="4"/>
    </row>
    <row r="757">
      <c r="G757" s="4"/>
    </row>
    <row r="758">
      <c r="G758" s="4"/>
    </row>
    <row r="759">
      <c r="G759" s="4"/>
    </row>
    <row r="760">
      <c r="G760" s="4"/>
    </row>
    <row r="761">
      <c r="G761" s="4"/>
    </row>
    <row r="762">
      <c r="G762" s="4"/>
    </row>
    <row r="763">
      <c r="G763" s="4"/>
    </row>
    <row r="764">
      <c r="G764" s="4"/>
    </row>
    <row r="765">
      <c r="G765" s="4"/>
    </row>
    <row r="766">
      <c r="G766" s="4"/>
    </row>
    <row r="767">
      <c r="G767" s="4"/>
    </row>
    <row r="768">
      <c r="G768" s="4"/>
    </row>
    <row r="769">
      <c r="G769" s="4"/>
    </row>
    <row r="770">
      <c r="G770" s="4"/>
    </row>
    <row r="771">
      <c r="G771" s="4"/>
    </row>
    <row r="772">
      <c r="G772" s="4"/>
    </row>
    <row r="773">
      <c r="G773" s="4"/>
    </row>
    <row r="774">
      <c r="G774" s="4"/>
    </row>
    <row r="775">
      <c r="G775" s="4"/>
    </row>
    <row r="776">
      <c r="G776" s="4"/>
    </row>
    <row r="777">
      <c r="G777" s="4"/>
    </row>
    <row r="778">
      <c r="G778" s="4"/>
    </row>
    <row r="779">
      <c r="G779" s="4"/>
    </row>
    <row r="780">
      <c r="G780" s="4"/>
    </row>
    <row r="781">
      <c r="G781" s="4"/>
    </row>
    <row r="782">
      <c r="G782" s="4"/>
    </row>
    <row r="783">
      <c r="G783" s="4"/>
    </row>
    <row r="784">
      <c r="G784" s="4"/>
    </row>
    <row r="785">
      <c r="G785" s="4"/>
    </row>
    <row r="786">
      <c r="G786" s="4"/>
    </row>
    <row r="787">
      <c r="G787" s="4"/>
    </row>
    <row r="788">
      <c r="G788" s="4"/>
    </row>
    <row r="789">
      <c r="G789" s="4"/>
    </row>
    <row r="790">
      <c r="G790" s="4"/>
    </row>
    <row r="791">
      <c r="G791" s="4"/>
    </row>
    <row r="792">
      <c r="G792" s="4"/>
    </row>
    <row r="793">
      <c r="G793" s="4"/>
    </row>
    <row r="794">
      <c r="G794" s="4"/>
    </row>
    <row r="795">
      <c r="G795" s="4"/>
    </row>
    <row r="796">
      <c r="G796" s="4"/>
    </row>
    <row r="797">
      <c r="G797" s="4"/>
    </row>
    <row r="798">
      <c r="G798" s="4"/>
    </row>
    <row r="799">
      <c r="G799" s="4"/>
    </row>
    <row r="800">
      <c r="G800" s="4"/>
    </row>
    <row r="801">
      <c r="G801" s="4"/>
    </row>
    <row r="802">
      <c r="G802" s="4"/>
    </row>
    <row r="803">
      <c r="G803" s="4"/>
    </row>
    <row r="804">
      <c r="G804" s="4"/>
    </row>
    <row r="805">
      <c r="G805" s="4"/>
    </row>
    <row r="806">
      <c r="G806" s="4"/>
    </row>
    <row r="807">
      <c r="G807" s="4"/>
    </row>
    <row r="808">
      <c r="G808" s="4"/>
    </row>
    <row r="809">
      <c r="G809" s="4"/>
    </row>
    <row r="810">
      <c r="G810" s="4"/>
    </row>
    <row r="811">
      <c r="G811" s="4"/>
    </row>
    <row r="812">
      <c r="G812" s="4"/>
    </row>
    <row r="813">
      <c r="G813" s="4"/>
    </row>
    <row r="814">
      <c r="G814" s="4"/>
    </row>
    <row r="815">
      <c r="G815" s="4"/>
    </row>
    <row r="816">
      <c r="G816" s="4"/>
    </row>
    <row r="817">
      <c r="G817" s="4"/>
    </row>
    <row r="818">
      <c r="G818" s="4"/>
    </row>
    <row r="819">
      <c r="G819" s="4"/>
    </row>
    <row r="820">
      <c r="G820" s="4"/>
    </row>
    <row r="821">
      <c r="G821" s="4"/>
    </row>
    <row r="822">
      <c r="G822" s="4"/>
    </row>
    <row r="823">
      <c r="G823" s="4"/>
    </row>
    <row r="824">
      <c r="G824" s="4"/>
    </row>
    <row r="825">
      <c r="G825" s="4"/>
    </row>
    <row r="826">
      <c r="G826" s="4"/>
    </row>
    <row r="827">
      <c r="G827" s="4"/>
    </row>
    <row r="828">
      <c r="G828" s="4"/>
    </row>
    <row r="829">
      <c r="G829" s="4"/>
    </row>
    <row r="830">
      <c r="G830" s="4"/>
    </row>
    <row r="831">
      <c r="G831" s="4"/>
    </row>
    <row r="832">
      <c r="G832" s="4"/>
    </row>
    <row r="833">
      <c r="G833" s="4"/>
    </row>
    <row r="834">
      <c r="G834" s="4"/>
    </row>
    <row r="835">
      <c r="G835" s="4"/>
    </row>
    <row r="836">
      <c r="G836" s="4"/>
    </row>
    <row r="837">
      <c r="G837" s="4"/>
    </row>
    <row r="838">
      <c r="G838" s="4"/>
    </row>
    <row r="839">
      <c r="G839" s="4"/>
    </row>
    <row r="840">
      <c r="G840" s="4"/>
    </row>
    <row r="841">
      <c r="G841" s="4"/>
    </row>
    <row r="842">
      <c r="G842" s="4"/>
    </row>
    <row r="843">
      <c r="G843" s="4"/>
    </row>
    <row r="844">
      <c r="G844" s="4"/>
    </row>
    <row r="845">
      <c r="G845" s="4"/>
    </row>
    <row r="846">
      <c r="G846" s="4"/>
    </row>
    <row r="847">
      <c r="G847" s="4"/>
    </row>
    <row r="848">
      <c r="G848" s="4"/>
    </row>
    <row r="849">
      <c r="G849" s="4"/>
    </row>
    <row r="850">
      <c r="G850" s="4"/>
    </row>
    <row r="851">
      <c r="G851" s="4"/>
    </row>
    <row r="852">
      <c r="G852" s="4"/>
    </row>
    <row r="853">
      <c r="G853" s="4"/>
    </row>
    <row r="854">
      <c r="G854" s="4"/>
    </row>
    <row r="855">
      <c r="G855" s="4"/>
    </row>
    <row r="856">
      <c r="G856" s="4"/>
    </row>
    <row r="857">
      <c r="G857" s="4"/>
    </row>
    <row r="858">
      <c r="G858" s="4"/>
    </row>
    <row r="859">
      <c r="G859" s="4"/>
    </row>
    <row r="860">
      <c r="G860" s="4"/>
    </row>
    <row r="861">
      <c r="G861" s="4"/>
    </row>
    <row r="862">
      <c r="G862" s="4"/>
    </row>
    <row r="863">
      <c r="G863" s="4"/>
    </row>
    <row r="864">
      <c r="G864" s="4"/>
    </row>
    <row r="865">
      <c r="G865" s="4"/>
    </row>
    <row r="866">
      <c r="G866" s="4"/>
    </row>
    <row r="867">
      <c r="G867" s="4"/>
    </row>
    <row r="868">
      <c r="G868" s="4"/>
    </row>
    <row r="869">
      <c r="G869" s="4"/>
    </row>
    <row r="870">
      <c r="G870" s="4"/>
    </row>
    <row r="871">
      <c r="G871" s="4"/>
    </row>
    <row r="872">
      <c r="G872" s="4"/>
    </row>
    <row r="873">
      <c r="G873" s="4"/>
    </row>
    <row r="874">
      <c r="G874" s="4"/>
    </row>
    <row r="875">
      <c r="G875" s="4"/>
    </row>
    <row r="876">
      <c r="G876" s="4"/>
    </row>
    <row r="877">
      <c r="G877" s="4"/>
    </row>
    <row r="878">
      <c r="G878" s="4"/>
    </row>
    <row r="879">
      <c r="G879" s="4"/>
    </row>
    <row r="880">
      <c r="G880" s="4"/>
    </row>
    <row r="881">
      <c r="G881" s="4"/>
    </row>
    <row r="882">
      <c r="G882" s="4"/>
    </row>
    <row r="883">
      <c r="G883" s="4"/>
    </row>
    <row r="884">
      <c r="G884" s="4"/>
    </row>
    <row r="885">
      <c r="G885" s="4"/>
    </row>
    <row r="886">
      <c r="G886" s="4"/>
    </row>
    <row r="887">
      <c r="G887" s="4"/>
    </row>
    <row r="888">
      <c r="G888" s="4"/>
    </row>
    <row r="889">
      <c r="G889" s="4"/>
    </row>
    <row r="890">
      <c r="G890" s="4"/>
    </row>
    <row r="891">
      <c r="G891" s="4"/>
    </row>
    <row r="892">
      <c r="G892" s="4"/>
    </row>
    <row r="893">
      <c r="G893" s="4"/>
    </row>
    <row r="894">
      <c r="G894" s="4"/>
    </row>
    <row r="895">
      <c r="G895" s="4"/>
    </row>
    <row r="896">
      <c r="G896" s="4"/>
    </row>
    <row r="897">
      <c r="G897" s="4"/>
    </row>
    <row r="898">
      <c r="G898" s="4"/>
    </row>
    <row r="899">
      <c r="G899" s="4"/>
    </row>
    <row r="900">
      <c r="G900" s="4"/>
    </row>
    <row r="901">
      <c r="G901" s="4"/>
    </row>
    <row r="902">
      <c r="G902" s="4"/>
    </row>
    <row r="903">
      <c r="G903" s="4"/>
    </row>
    <row r="904">
      <c r="G904" s="4"/>
    </row>
    <row r="905">
      <c r="G905" s="4"/>
    </row>
    <row r="906">
      <c r="G906" s="4"/>
    </row>
    <row r="907">
      <c r="G907" s="4"/>
    </row>
    <row r="908">
      <c r="G908" s="4"/>
    </row>
    <row r="909">
      <c r="G909" s="4"/>
    </row>
    <row r="910">
      <c r="G910" s="4"/>
    </row>
    <row r="911">
      <c r="G911" s="4"/>
    </row>
    <row r="912">
      <c r="G912" s="4"/>
    </row>
    <row r="913">
      <c r="G913" s="4"/>
    </row>
    <row r="914">
      <c r="G914" s="4"/>
    </row>
    <row r="915">
      <c r="G915" s="4"/>
    </row>
    <row r="916">
      <c r="G916" s="4"/>
    </row>
    <row r="917">
      <c r="G917" s="4"/>
    </row>
    <row r="918">
      <c r="G918" s="4"/>
    </row>
    <row r="919">
      <c r="G919" s="4"/>
    </row>
    <row r="920">
      <c r="G920" s="4"/>
    </row>
    <row r="921">
      <c r="G921" s="4"/>
    </row>
    <row r="922">
      <c r="G922" s="4"/>
    </row>
    <row r="923">
      <c r="G923" s="4"/>
    </row>
    <row r="924">
      <c r="G924" s="4"/>
    </row>
    <row r="925">
      <c r="G925" s="4"/>
    </row>
    <row r="926">
      <c r="G926" s="4"/>
    </row>
    <row r="927">
      <c r="G927" s="4"/>
    </row>
    <row r="928">
      <c r="G928" s="4"/>
    </row>
    <row r="929">
      <c r="G929" s="4"/>
    </row>
    <row r="930">
      <c r="G930" s="4"/>
    </row>
    <row r="931">
      <c r="G931" s="4"/>
    </row>
    <row r="932">
      <c r="G932" s="4"/>
    </row>
    <row r="933">
      <c r="G933" s="4"/>
    </row>
    <row r="934">
      <c r="G934" s="4"/>
    </row>
    <row r="935">
      <c r="G935" s="4"/>
    </row>
    <row r="936">
      <c r="G936" s="4"/>
    </row>
    <row r="937">
      <c r="G937" s="4"/>
    </row>
    <row r="938">
      <c r="G938" s="4"/>
    </row>
    <row r="939">
      <c r="G939" s="4"/>
    </row>
    <row r="940">
      <c r="G940" s="4"/>
    </row>
    <row r="941">
      <c r="G941" s="4"/>
    </row>
    <row r="942">
      <c r="G942" s="4"/>
    </row>
    <row r="943">
      <c r="G943" s="4"/>
    </row>
    <row r="944">
      <c r="G944" s="4"/>
    </row>
    <row r="945">
      <c r="G945" s="4"/>
    </row>
    <row r="946">
      <c r="G946" s="4"/>
    </row>
    <row r="947">
      <c r="G947" s="4"/>
    </row>
    <row r="948">
      <c r="G948" s="4"/>
    </row>
    <row r="949">
      <c r="G949" s="4"/>
    </row>
    <row r="950">
      <c r="G950" s="4"/>
    </row>
    <row r="951">
      <c r="G951" s="4"/>
    </row>
    <row r="952">
      <c r="G952" s="4"/>
    </row>
    <row r="953">
      <c r="G953" s="4"/>
    </row>
    <row r="954">
      <c r="G954" s="4"/>
    </row>
    <row r="955">
      <c r="G955" s="4"/>
    </row>
    <row r="956">
      <c r="G956" s="4"/>
    </row>
    <row r="957">
      <c r="G957" s="4"/>
    </row>
    <row r="958">
      <c r="G958" s="4"/>
    </row>
    <row r="959">
      <c r="G959" s="4"/>
    </row>
    <row r="960">
      <c r="G960" s="4"/>
    </row>
    <row r="961">
      <c r="G961" s="4"/>
    </row>
    <row r="962">
      <c r="G962" s="4"/>
    </row>
    <row r="963">
      <c r="G963" s="4"/>
    </row>
    <row r="964">
      <c r="G964" s="4"/>
    </row>
    <row r="965">
      <c r="G965" s="4"/>
    </row>
    <row r="966">
      <c r="G966" s="4"/>
    </row>
    <row r="967">
      <c r="G967" s="4"/>
    </row>
    <row r="968">
      <c r="G968" s="4"/>
    </row>
    <row r="969">
      <c r="G969" s="4"/>
    </row>
    <row r="970">
      <c r="G970" s="4"/>
    </row>
    <row r="971">
      <c r="G971" s="4"/>
    </row>
    <row r="972">
      <c r="G972" s="4"/>
    </row>
    <row r="973">
      <c r="G973" s="4"/>
    </row>
    <row r="974">
      <c r="G974" s="4"/>
    </row>
    <row r="975">
      <c r="G975" s="4"/>
    </row>
    <row r="976">
      <c r="G976" s="4"/>
    </row>
    <row r="977">
      <c r="G977" s="4"/>
    </row>
    <row r="978">
      <c r="G978" s="4"/>
    </row>
    <row r="979">
      <c r="G979" s="4"/>
    </row>
    <row r="980">
      <c r="G980" s="4"/>
    </row>
    <row r="981">
      <c r="G981" s="4"/>
    </row>
    <row r="982">
      <c r="G982" s="4"/>
    </row>
    <row r="983">
      <c r="G983" s="4"/>
    </row>
    <row r="984">
      <c r="G984" s="4"/>
    </row>
    <row r="985">
      <c r="G985" s="4"/>
    </row>
    <row r="986">
      <c r="G986" s="4"/>
    </row>
    <row r="987">
      <c r="G987" s="4"/>
    </row>
    <row r="988">
      <c r="G988" s="4"/>
    </row>
    <row r="989">
      <c r="G989" s="4"/>
    </row>
    <row r="990">
      <c r="G990" s="4"/>
    </row>
    <row r="991">
      <c r="G991" s="4"/>
    </row>
    <row r="992">
      <c r="G992" s="4"/>
    </row>
    <row r="993">
      <c r="G993" s="4"/>
    </row>
    <row r="994">
      <c r="G994" s="4"/>
    </row>
    <row r="995">
      <c r="G995" s="4"/>
    </row>
    <row r="996">
      <c r="G996" s="4"/>
    </row>
    <row r="997">
      <c r="G997" s="4"/>
    </row>
    <row r="998">
      <c r="G998" s="4"/>
    </row>
    <row r="999">
      <c r="G999" s="4"/>
    </row>
    <row r="1000">
      <c r="G1000" s="4"/>
    </row>
    <row r="1001">
      <c r="G1001" s="4"/>
    </row>
    <row r="1002">
      <c r="G1002" s="4"/>
    </row>
    <row r="1003">
      <c r="G1003" s="4"/>
    </row>
  </sheetData>
  <mergeCells count="33">
    <mergeCell ref="H21:H25"/>
    <mergeCell ref="H26:H30"/>
    <mergeCell ref="H31:H35"/>
    <mergeCell ref="H38:H42"/>
    <mergeCell ref="H43:H47"/>
    <mergeCell ref="H48:H52"/>
    <mergeCell ref="D31:D35"/>
    <mergeCell ref="D38:D42"/>
    <mergeCell ref="D43:D47"/>
    <mergeCell ref="D48:D52"/>
    <mergeCell ref="D9:D13"/>
    <mergeCell ref="H9:H13"/>
    <mergeCell ref="D14:D18"/>
    <mergeCell ref="H14:H18"/>
    <mergeCell ref="H4:H8"/>
    <mergeCell ref="I43:I47"/>
    <mergeCell ref="I48:I52"/>
    <mergeCell ref="I9:I13"/>
    <mergeCell ref="I14:I18"/>
    <mergeCell ref="I21:I25"/>
    <mergeCell ref="I26:I30"/>
    <mergeCell ref="I31:I35"/>
    <mergeCell ref="I38:I42"/>
    <mergeCell ref="I4:I8"/>
    <mergeCell ref="C4:C18"/>
    <mergeCell ref="D4:D8"/>
    <mergeCell ref="B21:B35"/>
    <mergeCell ref="C21:C35"/>
    <mergeCell ref="D21:D25"/>
    <mergeCell ref="D26:D30"/>
    <mergeCell ref="B38:B52"/>
    <mergeCell ref="C38:C52"/>
    <mergeCell ref="B4:B18"/>
  </mergeCells>
  <conditionalFormatting sqref="N5:O10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N5:N13 O5:O10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4" width="9.75"/>
  </cols>
  <sheetData>
    <row r="2">
      <c r="A2" s="37" t="s">
        <v>33</v>
      </c>
      <c r="B2" s="38"/>
      <c r="C2" s="38"/>
      <c r="D2" s="39"/>
    </row>
    <row r="3">
      <c r="A3" s="14" t="s">
        <v>34</v>
      </c>
      <c r="B3" s="40" t="s">
        <v>27</v>
      </c>
      <c r="C3" s="41" t="s">
        <v>23</v>
      </c>
      <c r="D3" s="42" t="s">
        <v>35</v>
      </c>
    </row>
    <row r="4">
      <c r="A4" s="40" t="s">
        <v>27</v>
      </c>
      <c r="B4" s="43"/>
      <c r="C4" s="14">
        <v>0.3125</v>
      </c>
      <c r="D4" s="14">
        <v>0.0625</v>
      </c>
    </row>
    <row r="5">
      <c r="A5" s="41" t="s">
        <v>23</v>
      </c>
      <c r="B5" s="14">
        <v>0.3125</v>
      </c>
      <c r="C5" s="43"/>
      <c r="D5" s="14">
        <v>0.0625</v>
      </c>
    </row>
    <row r="6">
      <c r="A6" s="42" t="s">
        <v>35</v>
      </c>
      <c r="B6" s="14">
        <v>0.0625</v>
      </c>
      <c r="C6" s="14">
        <v>0.0625</v>
      </c>
      <c r="D6" s="43"/>
    </row>
    <row r="7" hidden="1">
      <c r="A7" s="44"/>
      <c r="B7" s="44"/>
      <c r="C7" s="44"/>
      <c r="D7" s="44"/>
    </row>
    <row r="8">
      <c r="A8" s="37" t="s">
        <v>36</v>
      </c>
      <c r="B8" s="38"/>
      <c r="C8" s="38"/>
      <c r="D8" s="39"/>
    </row>
    <row r="9">
      <c r="A9" s="14" t="s">
        <v>34</v>
      </c>
      <c r="B9" s="40" t="s">
        <v>27</v>
      </c>
      <c r="C9" s="41" t="s">
        <v>23</v>
      </c>
      <c r="D9" s="42" t="s">
        <v>35</v>
      </c>
    </row>
    <row r="10">
      <c r="A10" s="40" t="s">
        <v>27</v>
      </c>
      <c r="B10" s="43"/>
      <c r="C10" s="14">
        <f>B11</f>
        <v>0.1123</v>
      </c>
      <c r="D10" s="14">
        <f>B12</f>
        <v>0.00001083</v>
      </c>
    </row>
    <row r="11">
      <c r="A11" s="41" t="s">
        <v>23</v>
      </c>
      <c r="B11" s="14">
        <v>0.1123</v>
      </c>
      <c r="C11" s="43"/>
      <c r="D11" s="14">
        <f>C12</f>
        <v>0.00001083</v>
      </c>
    </row>
    <row r="12">
      <c r="A12" s="42" t="s">
        <v>35</v>
      </c>
      <c r="B12" s="14">
        <v>1.083E-5</v>
      </c>
      <c r="C12" s="14">
        <f>B12</f>
        <v>0.00001083</v>
      </c>
      <c r="D12" s="43"/>
    </row>
  </sheetData>
  <mergeCells count="2">
    <mergeCell ref="A2:D2"/>
    <mergeCell ref="A8:D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12" max="12" width="20.38"/>
  </cols>
  <sheetData>
    <row r="1">
      <c r="A1" s="45" t="s">
        <v>37</v>
      </c>
      <c r="B1" s="46" t="s">
        <v>38</v>
      </c>
      <c r="C1" s="46" t="s">
        <v>39</v>
      </c>
      <c r="D1" s="46" t="s">
        <v>40</v>
      </c>
      <c r="E1" s="46" t="s">
        <v>41</v>
      </c>
      <c r="F1" s="2" t="s">
        <v>17</v>
      </c>
    </row>
    <row r="2">
      <c r="A2" s="47" t="s">
        <v>42</v>
      </c>
      <c r="B2" s="48">
        <v>12000.0</v>
      </c>
      <c r="C2" s="48">
        <v>655849.0</v>
      </c>
      <c r="D2" s="47" t="s">
        <v>43</v>
      </c>
      <c r="E2" s="48">
        <v>53.787</v>
      </c>
      <c r="F2" s="49">
        <f t="shared" ref="F2:F76" si="1">E2*1000000</f>
        <v>53787000</v>
      </c>
    </row>
    <row r="3">
      <c r="A3" s="47" t="s">
        <v>44</v>
      </c>
      <c r="B3" s="48">
        <v>11500.0</v>
      </c>
      <c r="C3" s="48">
        <v>655849.0</v>
      </c>
      <c r="D3" s="47" t="s">
        <v>43</v>
      </c>
      <c r="E3" s="48">
        <v>53.687</v>
      </c>
      <c r="F3" s="49">
        <f t="shared" si="1"/>
        <v>53687000</v>
      </c>
    </row>
    <row r="4">
      <c r="A4" s="47" t="s">
        <v>46</v>
      </c>
      <c r="B4" s="48">
        <v>11000.0</v>
      </c>
      <c r="C4" s="48">
        <v>655849.0</v>
      </c>
      <c r="D4" s="47" t="s">
        <v>43</v>
      </c>
      <c r="E4" s="48">
        <v>53.567</v>
      </c>
      <c r="F4" s="49">
        <f t="shared" si="1"/>
        <v>53567000</v>
      </c>
    </row>
    <row r="5">
      <c r="A5" s="47" t="s">
        <v>48</v>
      </c>
      <c r="B5" s="48">
        <v>10500.0</v>
      </c>
      <c r="C5" s="48">
        <v>655849.0</v>
      </c>
      <c r="D5" s="47" t="s">
        <v>43</v>
      </c>
      <c r="E5" s="48">
        <v>53.047</v>
      </c>
      <c r="F5" s="49">
        <f t="shared" si="1"/>
        <v>53047000</v>
      </c>
    </row>
    <row r="6">
      <c r="A6" s="47" t="s">
        <v>49</v>
      </c>
      <c r="B6" s="48">
        <v>10000.0</v>
      </c>
      <c r="C6" s="48">
        <v>655849.0</v>
      </c>
      <c r="D6" s="47" t="s">
        <v>43</v>
      </c>
      <c r="E6" s="48">
        <v>52.647</v>
      </c>
      <c r="F6" s="49">
        <f t="shared" si="1"/>
        <v>52647000</v>
      </c>
    </row>
    <row r="7">
      <c r="A7" s="47" t="s">
        <v>42</v>
      </c>
      <c r="B7" s="48">
        <v>12000.0</v>
      </c>
      <c r="C7" s="48">
        <v>111347.0</v>
      </c>
      <c r="D7" s="47" t="s">
        <v>43</v>
      </c>
      <c r="E7" s="48">
        <v>56.467</v>
      </c>
      <c r="F7" s="49">
        <f t="shared" si="1"/>
        <v>56467000</v>
      </c>
    </row>
    <row r="8">
      <c r="A8" s="47" t="s">
        <v>44</v>
      </c>
      <c r="B8" s="48">
        <v>11500.0</v>
      </c>
      <c r="C8" s="48">
        <v>111347.0</v>
      </c>
      <c r="D8" s="47" t="s">
        <v>43</v>
      </c>
      <c r="E8" s="48">
        <v>56.277</v>
      </c>
      <c r="F8" s="49">
        <f t="shared" si="1"/>
        <v>56277000</v>
      </c>
    </row>
    <row r="9">
      <c r="A9" s="47" t="s">
        <v>46</v>
      </c>
      <c r="B9" s="48">
        <v>11000.0</v>
      </c>
      <c r="C9" s="48">
        <v>111347.0</v>
      </c>
      <c r="D9" s="47" t="s">
        <v>43</v>
      </c>
      <c r="E9" s="48">
        <v>56.597</v>
      </c>
      <c r="F9" s="49">
        <f t="shared" si="1"/>
        <v>56597000</v>
      </c>
    </row>
    <row r="10">
      <c r="A10" s="47" t="s">
        <v>48</v>
      </c>
      <c r="B10" s="48">
        <v>10500.0</v>
      </c>
      <c r="C10" s="48">
        <v>111347.0</v>
      </c>
      <c r="D10" s="47" t="s">
        <v>43</v>
      </c>
      <c r="E10" s="48">
        <v>55.977</v>
      </c>
      <c r="F10" s="49">
        <f t="shared" si="1"/>
        <v>55977000</v>
      </c>
    </row>
    <row r="11">
      <c r="A11" s="47" t="s">
        <v>49</v>
      </c>
      <c r="B11" s="48">
        <v>10000.0</v>
      </c>
      <c r="C11" s="48">
        <v>111347.0</v>
      </c>
      <c r="D11" s="47" t="s">
        <v>43</v>
      </c>
      <c r="E11" s="48">
        <v>55.067</v>
      </c>
      <c r="F11" s="49">
        <f t="shared" si="1"/>
        <v>55067000</v>
      </c>
    </row>
    <row r="12">
      <c r="A12" s="47" t="s">
        <v>42</v>
      </c>
      <c r="B12" s="48">
        <v>12000.0</v>
      </c>
      <c r="C12" s="48">
        <v>253607.0</v>
      </c>
      <c r="D12" s="47" t="s">
        <v>43</v>
      </c>
      <c r="E12" s="48">
        <v>55.947</v>
      </c>
      <c r="F12" s="49">
        <f t="shared" si="1"/>
        <v>55947000</v>
      </c>
    </row>
    <row r="13">
      <c r="A13" s="47" t="s">
        <v>44</v>
      </c>
      <c r="B13" s="48">
        <v>11500.0</v>
      </c>
      <c r="C13" s="48">
        <v>253607.0</v>
      </c>
      <c r="D13" s="47" t="s">
        <v>43</v>
      </c>
      <c r="E13" s="48">
        <v>51.287</v>
      </c>
      <c r="F13" s="49">
        <f t="shared" si="1"/>
        <v>51287000</v>
      </c>
    </row>
    <row r="14">
      <c r="A14" s="47" t="s">
        <v>46</v>
      </c>
      <c r="B14" s="48">
        <v>11000.0</v>
      </c>
      <c r="C14" s="48">
        <v>253607.0</v>
      </c>
      <c r="D14" s="47" t="s">
        <v>43</v>
      </c>
      <c r="E14" s="48">
        <v>51.277</v>
      </c>
      <c r="F14" s="49">
        <f t="shared" si="1"/>
        <v>51277000</v>
      </c>
    </row>
    <row r="15">
      <c r="A15" s="47" t="s">
        <v>48</v>
      </c>
      <c r="B15" s="48">
        <v>10500.0</v>
      </c>
      <c r="C15" s="48">
        <v>253607.0</v>
      </c>
      <c r="D15" s="47" t="s">
        <v>43</v>
      </c>
      <c r="E15" s="48">
        <v>51.107</v>
      </c>
      <c r="F15" s="49">
        <f t="shared" si="1"/>
        <v>51107000</v>
      </c>
    </row>
    <row r="16">
      <c r="A16" s="47" t="s">
        <v>49</v>
      </c>
      <c r="B16" s="48">
        <v>10000.0</v>
      </c>
      <c r="C16" s="48">
        <v>253607.0</v>
      </c>
      <c r="D16" s="47" t="s">
        <v>43</v>
      </c>
      <c r="E16" s="48">
        <v>51.037</v>
      </c>
      <c r="F16" s="49">
        <f t="shared" si="1"/>
        <v>51037000</v>
      </c>
    </row>
    <row r="17">
      <c r="A17" s="47" t="s">
        <v>42</v>
      </c>
      <c r="B17" s="48">
        <v>12000.0</v>
      </c>
      <c r="C17" s="48">
        <v>191717.0</v>
      </c>
      <c r="D17" s="47" t="s">
        <v>43</v>
      </c>
      <c r="E17" s="48">
        <v>55.917</v>
      </c>
      <c r="F17" s="49">
        <f t="shared" si="1"/>
        <v>55917000</v>
      </c>
    </row>
    <row r="18">
      <c r="A18" s="47" t="s">
        <v>44</v>
      </c>
      <c r="B18" s="48">
        <v>11500.0</v>
      </c>
      <c r="C18" s="48">
        <v>191717.0</v>
      </c>
      <c r="D18" s="47" t="s">
        <v>43</v>
      </c>
      <c r="E18" s="48">
        <v>55.387</v>
      </c>
      <c r="F18" s="49">
        <f t="shared" si="1"/>
        <v>55387000</v>
      </c>
    </row>
    <row r="19">
      <c r="A19" s="47" t="s">
        <v>46</v>
      </c>
      <c r="B19" s="48">
        <v>11000.0</v>
      </c>
      <c r="C19" s="48">
        <v>191717.0</v>
      </c>
      <c r="D19" s="47" t="s">
        <v>43</v>
      </c>
      <c r="E19" s="48">
        <v>55.227</v>
      </c>
      <c r="F19" s="49">
        <f t="shared" si="1"/>
        <v>55227000</v>
      </c>
    </row>
    <row r="20">
      <c r="A20" s="47" t="s">
        <v>48</v>
      </c>
      <c r="B20" s="48">
        <v>10500.0</v>
      </c>
      <c r="C20" s="48">
        <v>191717.0</v>
      </c>
      <c r="D20" s="47" t="s">
        <v>43</v>
      </c>
      <c r="E20" s="48">
        <v>55.547</v>
      </c>
      <c r="F20" s="49">
        <f t="shared" si="1"/>
        <v>55547000</v>
      </c>
    </row>
    <row r="21">
      <c r="A21" s="47" t="s">
        <v>49</v>
      </c>
      <c r="B21" s="48">
        <v>10000.0</v>
      </c>
      <c r="C21" s="48">
        <v>191717.0</v>
      </c>
      <c r="D21" s="47" t="s">
        <v>43</v>
      </c>
      <c r="E21" s="48">
        <v>55.937</v>
      </c>
      <c r="F21" s="49">
        <f t="shared" si="1"/>
        <v>55937000</v>
      </c>
    </row>
    <row r="22">
      <c r="A22" s="47" t="s">
        <v>42</v>
      </c>
      <c r="B22" s="48">
        <v>12000.0</v>
      </c>
      <c r="C22" s="48">
        <v>984587.0</v>
      </c>
      <c r="D22" s="47" t="s">
        <v>43</v>
      </c>
      <c r="E22" s="48">
        <v>53.087</v>
      </c>
      <c r="F22" s="49">
        <f t="shared" si="1"/>
        <v>53087000</v>
      </c>
    </row>
    <row r="23">
      <c r="A23" s="47" t="s">
        <v>44</v>
      </c>
      <c r="B23" s="48">
        <v>11500.0</v>
      </c>
      <c r="C23" s="48">
        <v>984587.0</v>
      </c>
      <c r="D23" s="47" t="s">
        <v>43</v>
      </c>
      <c r="E23" s="48">
        <v>52.717</v>
      </c>
      <c r="F23" s="49">
        <f t="shared" si="1"/>
        <v>52717000</v>
      </c>
    </row>
    <row r="24">
      <c r="A24" s="47" t="s">
        <v>46</v>
      </c>
      <c r="B24" s="48">
        <v>11000.0</v>
      </c>
      <c r="C24" s="48">
        <v>984587.0</v>
      </c>
      <c r="D24" s="47" t="s">
        <v>43</v>
      </c>
      <c r="E24" s="48">
        <v>52.297</v>
      </c>
      <c r="F24" s="49">
        <f t="shared" si="1"/>
        <v>52297000</v>
      </c>
    </row>
    <row r="25">
      <c r="A25" s="47" t="s">
        <v>48</v>
      </c>
      <c r="B25" s="48">
        <v>10500.0</v>
      </c>
      <c r="C25" s="48">
        <v>984587.0</v>
      </c>
      <c r="D25" s="47" t="s">
        <v>43</v>
      </c>
      <c r="E25" s="48">
        <v>52.127</v>
      </c>
      <c r="F25" s="49">
        <f t="shared" si="1"/>
        <v>52127000</v>
      </c>
    </row>
    <row r="26">
      <c r="A26" s="47" t="s">
        <v>49</v>
      </c>
      <c r="B26" s="48">
        <v>10000.0</v>
      </c>
      <c r="C26" s="48">
        <v>984587.0</v>
      </c>
      <c r="D26" s="47" t="s">
        <v>43</v>
      </c>
      <c r="E26" s="48">
        <v>52.357</v>
      </c>
      <c r="F26" s="49">
        <f t="shared" si="1"/>
        <v>52357000</v>
      </c>
    </row>
    <row r="27">
      <c r="A27" s="47" t="s">
        <v>42</v>
      </c>
      <c r="B27" s="48">
        <v>12000.0</v>
      </c>
      <c r="C27" s="48">
        <v>984587.0</v>
      </c>
      <c r="D27" s="47" t="s">
        <v>51</v>
      </c>
      <c r="E27" s="48">
        <v>64.347</v>
      </c>
      <c r="F27" s="49">
        <f t="shared" si="1"/>
        <v>64347000</v>
      </c>
    </row>
    <row r="28">
      <c r="A28" s="47" t="s">
        <v>44</v>
      </c>
      <c r="B28" s="48">
        <v>11500.0</v>
      </c>
      <c r="C28" s="48">
        <v>984587.0</v>
      </c>
      <c r="D28" s="47" t="s">
        <v>51</v>
      </c>
      <c r="E28" s="48">
        <v>65.027</v>
      </c>
      <c r="F28" s="49">
        <f t="shared" si="1"/>
        <v>65027000</v>
      </c>
    </row>
    <row r="29">
      <c r="A29" s="47" t="s">
        <v>46</v>
      </c>
      <c r="B29" s="48">
        <v>11000.0</v>
      </c>
      <c r="C29" s="48">
        <v>984587.0</v>
      </c>
      <c r="D29" s="47" t="s">
        <v>51</v>
      </c>
      <c r="E29" s="48">
        <v>64.487</v>
      </c>
      <c r="F29" s="49">
        <f t="shared" si="1"/>
        <v>64487000</v>
      </c>
    </row>
    <row r="30">
      <c r="A30" s="47" t="s">
        <v>48</v>
      </c>
      <c r="B30" s="48">
        <v>10500.0</v>
      </c>
      <c r="C30" s="48">
        <v>984587.0</v>
      </c>
      <c r="D30" s="47" t="s">
        <v>51</v>
      </c>
      <c r="E30" s="48">
        <v>63.837</v>
      </c>
      <c r="F30" s="49">
        <f t="shared" si="1"/>
        <v>63837000</v>
      </c>
    </row>
    <row r="31">
      <c r="A31" s="47" t="s">
        <v>49</v>
      </c>
      <c r="B31" s="48">
        <v>10000.0</v>
      </c>
      <c r="C31" s="48">
        <v>984587.0</v>
      </c>
      <c r="D31" s="47" t="s">
        <v>51</v>
      </c>
      <c r="E31" s="48">
        <v>63.937</v>
      </c>
      <c r="F31" s="49">
        <f t="shared" si="1"/>
        <v>63937000</v>
      </c>
    </row>
    <row r="32">
      <c r="A32" s="47" t="s">
        <v>42</v>
      </c>
      <c r="B32" s="48">
        <v>12000.0</v>
      </c>
      <c r="C32" s="48">
        <v>253607.0</v>
      </c>
      <c r="D32" s="47" t="s">
        <v>51</v>
      </c>
      <c r="E32" s="48">
        <v>62.577</v>
      </c>
      <c r="F32" s="49">
        <f t="shared" si="1"/>
        <v>62577000</v>
      </c>
    </row>
    <row r="33">
      <c r="A33" s="47" t="s">
        <v>44</v>
      </c>
      <c r="B33" s="48">
        <v>11500.0</v>
      </c>
      <c r="C33" s="48">
        <v>253607.0</v>
      </c>
      <c r="D33" s="47" t="s">
        <v>51</v>
      </c>
      <c r="E33" s="48">
        <v>62.827</v>
      </c>
      <c r="F33" s="49">
        <f t="shared" si="1"/>
        <v>62827000</v>
      </c>
    </row>
    <row r="34">
      <c r="A34" s="47" t="s">
        <v>46</v>
      </c>
      <c r="B34" s="48">
        <v>11000.0</v>
      </c>
      <c r="C34" s="48">
        <v>253607.0</v>
      </c>
      <c r="D34" s="47" t="s">
        <v>51</v>
      </c>
      <c r="E34" s="48">
        <v>62.667</v>
      </c>
      <c r="F34" s="49">
        <f t="shared" si="1"/>
        <v>62667000</v>
      </c>
    </row>
    <row r="35">
      <c r="A35" s="47" t="s">
        <v>48</v>
      </c>
      <c r="B35" s="48">
        <v>10500.0</v>
      </c>
      <c r="C35" s="48">
        <v>253607.0</v>
      </c>
      <c r="D35" s="47" t="s">
        <v>51</v>
      </c>
      <c r="E35" s="48">
        <v>62.517</v>
      </c>
      <c r="F35" s="49">
        <f t="shared" si="1"/>
        <v>62517000</v>
      </c>
    </row>
    <row r="36">
      <c r="A36" s="47" t="s">
        <v>49</v>
      </c>
      <c r="B36" s="48">
        <v>10000.0</v>
      </c>
      <c r="C36" s="48">
        <v>253607.0</v>
      </c>
      <c r="D36" s="47" t="s">
        <v>51</v>
      </c>
      <c r="E36" s="48">
        <v>61.947</v>
      </c>
      <c r="F36" s="49">
        <f t="shared" si="1"/>
        <v>61947000</v>
      </c>
    </row>
    <row r="37">
      <c r="A37" s="47" t="s">
        <v>42</v>
      </c>
      <c r="B37" s="48">
        <v>12000.0</v>
      </c>
      <c r="C37" s="48">
        <v>111347.0</v>
      </c>
      <c r="D37" s="47" t="s">
        <v>51</v>
      </c>
      <c r="E37" s="48">
        <v>63.467</v>
      </c>
      <c r="F37" s="49">
        <f t="shared" si="1"/>
        <v>63467000</v>
      </c>
    </row>
    <row r="38">
      <c r="A38" s="47" t="s">
        <v>44</v>
      </c>
      <c r="B38" s="48">
        <v>11500.0</v>
      </c>
      <c r="C38" s="48">
        <v>111347.0</v>
      </c>
      <c r="D38" s="47" t="s">
        <v>51</v>
      </c>
      <c r="E38" s="48">
        <v>63.457</v>
      </c>
      <c r="F38" s="49">
        <f t="shared" si="1"/>
        <v>63457000</v>
      </c>
    </row>
    <row r="39">
      <c r="A39" s="47" t="s">
        <v>46</v>
      </c>
      <c r="B39" s="48">
        <v>11000.0</v>
      </c>
      <c r="C39" s="48">
        <v>111347.0</v>
      </c>
      <c r="D39" s="47" t="s">
        <v>51</v>
      </c>
      <c r="E39" s="48">
        <v>64.367</v>
      </c>
      <c r="F39" s="49">
        <f t="shared" si="1"/>
        <v>64367000</v>
      </c>
    </row>
    <row r="40">
      <c r="A40" s="47" t="s">
        <v>48</v>
      </c>
      <c r="B40" s="48">
        <v>10500.0</v>
      </c>
      <c r="C40" s="48">
        <v>111347.0</v>
      </c>
      <c r="D40" s="47" t="s">
        <v>51</v>
      </c>
      <c r="E40" s="48">
        <v>64.127</v>
      </c>
      <c r="F40" s="49">
        <f t="shared" si="1"/>
        <v>64127000</v>
      </c>
    </row>
    <row r="41">
      <c r="A41" s="47" t="s">
        <v>49</v>
      </c>
      <c r="B41" s="48">
        <v>10000.0</v>
      </c>
      <c r="C41" s="48">
        <v>111347.0</v>
      </c>
      <c r="D41" s="47" t="s">
        <v>51</v>
      </c>
      <c r="E41" s="48">
        <v>64.347</v>
      </c>
      <c r="F41" s="49">
        <f t="shared" si="1"/>
        <v>64347000</v>
      </c>
    </row>
    <row r="42">
      <c r="A42" s="47" t="s">
        <v>42</v>
      </c>
      <c r="B42" s="48">
        <v>12000.0</v>
      </c>
      <c r="C42" s="48">
        <v>655849.0</v>
      </c>
      <c r="D42" s="47" t="s">
        <v>51</v>
      </c>
      <c r="E42" s="48">
        <v>62.697</v>
      </c>
      <c r="F42" s="49">
        <f t="shared" si="1"/>
        <v>62697000</v>
      </c>
    </row>
    <row r="43">
      <c r="A43" s="47" t="s">
        <v>44</v>
      </c>
      <c r="B43" s="48">
        <v>11500.0</v>
      </c>
      <c r="C43" s="48">
        <v>655849.0</v>
      </c>
      <c r="D43" s="47" t="s">
        <v>51</v>
      </c>
      <c r="E43" s="48">
        <v>62.787</v>
      </c>
      <c r="F43" s="49">
        <f t="shared" si="1"/>
        <v>62787000</v>
      </c>
    </row>
    <row r="44">
      <c r="A44" s="47" t="s">
        <v>46</v>
      </c>
      <c r="B44" s="48">
        <v>11000.0</v>
      </c>
      <c r="C44" s="48">
        <v>655849.0</v>
      </c>
      <c r="D44" s="47" t="s">
        <v>51</v>
      </c>
      <c r="E44" s="48">
        <v>62.117</v>
      </c>
      <c r="F44" s="49">
        <f t="shared" si="1"/>
        <v>62117000</v>
      </c>
    </row>
    <row r="45">
      <c r="A45" s="47" t="s">
        <v>48</v>
      </c>
      <c r="B45" s="48">
        <v>10500.0</v>
      </c>
      <c r="C45" s="48">
        <v>655849.0</v>
      </c>
      <c r="D45" s="47" t="s">
        <v>51</v>
      </c>
      <c r="E45" s="48">
        <v>61.937</v>
      </c>
      <c r="F45" s="49">
        <f t="shared" si="1"/>
        <v>61937000</v>
      </c>
    </row>
    <row r="46">
      <c r="A46" s="47" t="s">
        <v>49</v>
      </c>
      <c r="B46" s="48">
        <v>10000.0</v>
      </c>
      <c r="C46" s="48">
        <v>655849.0</v>
      </c>
      <c r="D46" s="47" t="s">
        <v>51</v>
      </c>
      <c r="E46" s="48">
        <v>61.477</v>
      </c>
      <c r="F46" s="49">
        <f t="shared" si="1"/>
        <v>61477000</v>
      </c>
    </row>
    <row r="47">
      <c r="A47" s="47" t="s">
        <v>42</v>
      </c>
      <c r="B47" s="48">
        <v>12000.0</v>
      </c>
      <c r="C47" s="48">
        <v>191717.0</v>
      </c>
      <c r="D47" s="47" t="s">
        <v>51</v>
      </c>
      <c r="E47" s="48">
        <v>61.707</v>
      </c>
      <c r="F47" s="49">
        <f t="shared" si="1"/>
        <v>61707000</v>
      </c>
    </row>
    <row r="48">
      <c r="A48" s="47" t="s">
        <v>44</v>
      </c>
      <c r="B48" s="48">
        <v>11500.0</v>
      </c>
      <c r="C48" s="48">
        <v>191717.0</v>
      </c>
      <c r="D48" s="47" t="s">
        <v>51</v>
      </c>
      <c r="E48" s="48">
        <v>62.747</v>
      </c>
      <c r="F48" s="49">
        <f t="shared" si="1"/>
        <v>62747000</v>
      </c>
    </row>
    <row r="49">
      <c r="A49" s="47" t="s">
        <v>46</v>
      </c>
      <c r="B49" s="48">
        <v>11000.0</v>
      </c>
      <c r="C49" s="48">
        <v>191717.0</v>
      </c>
      <c r="D49" s="47" t="s">
        <v>51</v>
      </c>
      <c r="E49" s="48">
        <v>63.417</v>
      </c>
      <c r="F49" s="49">
        <f t="shared" si="1"/>
        <v>63417000</v>
      </c>
    </row>
    <row r="50">
      <c r="A50" s="47" t="s">
        <v>48</v>
      </c>
      <c r="B50" s="48">
        <v>10500.0</v>
      </c>
      <c r="C50" s="48">
        <v>191717.0</v>
      </c>
      <c r="D50" s="47" t="s">
        <v>51</v>
      </c>
      <c r="E50" s="48">
        <v>63.627</v>
      </c>
      <c r="F50" s="49">
        <f t="shared" si="1"/>
        <v>63627000</v>
      </c>
    </row>
    <row r="51">
      <c r="A51" s="47" t="s">
        <v>49</v>
      </c>
      <c r="B51" s="48">
        <v>10000.0</v>
      </c>
      <c r="C51" s="48">
        <v>191717.0</v>
      </c>
      <c r="D51" s="47" t="s">
        <v>51</v>
      </c>
      <c r="E51" s="48">
        <v>62.967</v>
      </c>
      <c r="F51" s="49">
        <f t="shared" si="1"/>
        <v>62967000</v>
      </c>
    </row>
    <row r="52">
      <c r="A52" s="47" t="s">
        <v>42</v>
      </c>
      <c r="B52" s="48">
        <v>12000.0</v>
      </c>
      <c r="C52" s="48">
        <v>655849.0</v>
      </c>
      <c r="D52" s="47" t="s">
        <v>47</v>
      </c>
      <c r="E52" s="48">
        <v>63.407</v>
      </c>
      <c r="F52" s="49">
        <f t="shared" si="1"/>
        <v>63407000</v>
      </c>
    </row>
    <row r="53">
      <c r="A53" s="47" t="s">
        <v>44</v>
      </c>
      <c r="B53" s="48">
        <v>11500.0</v>
      </c>
      <c r="C53" s="48">
        <v>655849.0</v>
      </c>
      <c r="D53" s="47" t="s">
        <v>47</v>
      </c>
      <c r="E53" s="48">
        <v>64.397</v>
      </c>
      <c r="F53" s="49">
        <f t="shared" si="1"/>
        <v>64397000</v>
      </c>
    </row>
    <row r="54">
      <c r="A54" s="47" t="s">
        <v>46</v>
      </c>
      <c r="B54" s="48">
        <v>11000.0</v>
      </c>
      <c r="C54" s="48">
        <v>655849.0</v>
      </c>
      <c r="D54" s="47" t="s">
        <v>47</v>
      </c>
      <c r="E54" s="48">
        <v>64.637</v>
      </c>
      <c r="F54" s="49">
        <f t="shared" si="1"/>
        <v>64637000</v>
      </c>
    </row>
    <row r="55">
      <c r="A55" s="47" t="s">
        <v>48</v>
      </c>
      <c r="B55" s="48">
        <v>10500.0</v>
      </c>
      <c r="C55" s="48">
        <v>655849.0</v>
      </c>
      <c r="D55" s="47" t="s">
        <v>47</v>
      </c>
      <c r="E55" s="48">
        <v>64.947</v>
      </c>
      <c r="F55" s="49">
        <f t="shared" si="1"/>
        <v>64947000</v>
      </c>
    </row>
    <row r="56">
      <c r="A56" s="47" t="s">
        <v>49</v>
      </c>
      <c r="B56" s="48">
        <v>10000.0</v>
      </c>
      <c r="C56" s="48">
        <v>655849.0</v>
      </c>
      <c r="D56" s="47" t="s">
        <v>47</v>
      </c>
      <c r="E56" s="48">
        <v>65.217</v>
      </c>
      <c r="F56" s="49">
        <f t="shared" si="1"/>
        <v>65217000</v>
      </c>
    </row>
    <row r="57">
      <c r="A57" s="47" t="s">
        <v>42</v>
      </c>
      <c r="B57" s="48">
        <v>12000.0</v>
      </c>
      <c r="C57" s="48">
        <v>984587.0</v>
      </c>
      <c r="D57" s="47" t="s">
        <v>47</v>
      </c>
      <c r="E57" s="48">
        <v>63.087</v>
      </c>
      <c r="F57" s="49">
        <f t="shared" si="1"/>
        <v>63087000</v>
      </c>
    </row>
    <row r="58">
      <c r="A58" s="47" t="s">
        <v>44</v>
      </c>
      <c r="B58" s="48">
        <v>11500.0</v>
      </c>
      <c r="C58" s="48">
        <v>984587.0</v>
      </c>
      <c r="D58" s="47" t="s">
        <v>47</v>
      </c>
      <c r="E58" s="48">
        <v>63.237</v>
      </c>
      <c r="F58" s="49">
        <f t="shared" si="1"/>
        <v>63237000</v>
      </c>
    </row>
    <row r="59">
      <c r="A59" s="47" t="s">
        <v>46</v>
      </c>
      <c r="B59" s="48">
        <v>11000.0</v>
      </c>
      <c r="C59" s="48">
        <v>984587.0</v>
      </c>
      <c r="D59" s="47" t="s">
        <v>47</v>
      </c>
      <c r="E59" s="48">
        <v>63.147</v>
      </c>
      <c r="F59" s="49">
        <f t="shared" si="1"/>
        <v>63147000</v>
      </c>
    </row>
    <row r="60">
      <c r="A60" s="47" t="s">
        <v>48</v>
      </c>
      <c r="B60" s="48">
        <v>10500.0</v>
      </c>
      <c r="C60" s="48">
        <v>984587.0</v>
      </c>
      <c r="D60" s="47" t="s">
        <v>47</v>
      </c>
      <c r="E60" s="48">
        <v>63.037</v>
      </c>
      <c r="F60" s="49">
        <f t="shared" si="1"/>
        <v>63037000</v>
      </c>
    </row>
    <row r="61">
      <c r="A61" s="47" t="s">
        <v>49</v>
      </c>
      <c r="B61" s="48">
        <v>10000.0</v>
      </c>
      <c r="C61" s="48">
        <v>984587.0</v>
      </c>
      <c r="D61" s="47" t="s">
        <v>47</v>
      </c>
      <c r="E61" s="48">
        <v>62.607</v>
      </c>
      <c r="F61" s="49">
        <f t="shared" si="1"/>
        <v>62607000</v>
      </c>
    </row>
    <row r="62">
      <c r="A62" s="47" t="s">
        <v>42</v>
      </c>
      <c r="B62" s="48">
        <v>12000.0</v>
      </c>
      <c r="C62" s="48">
        <v>191717.0</v>
      </c>
      <c r="D62" s="47" t="s">
        <v>47</v>
      </c>
      <c r="E62" s="48">
        <v>62.527</v>
      </c>
      <c r="F62" s="49">
        <f t="shared" si="1"/>
        <v>62527000</v>
      </c>
    </row>
    <row r="63">
      <c r="A63" s="47" t="s">
        <v>44</v>
      </c>
      <c r="B63" s="48">
        <v>11500.0</v>
      </c>
      <c r="C63" s="48">
        <v>191717.0</v>
      </c>
      <c r="D63" s="47" t="s">
        <v>47</v>
      </c>
      <c r="E63" s="48">
        <v>63.647</v>
      </c>
      <c r="F63" s="49">
        <f t="shared" si="1"/>
        <v>63647000</v>
      </c>
    </row>
    <row r="64">
      <c r="A64" s="47" t="s">
        <v>46</v>
      </c>
      <c r="B64" s="48">
        <v>11000.0</v>
      </c>
      <c r="C64" s="48">
        <v>191717.0</v>
      </c>
      <c r="D64" s="47" t="s">
        <v>47</v>
      </c>
      <c r="E64" s="48">
        <v>64.577</v>
      </c>
      <c r="F64" s="49">
        <f t="shared" si="1"/>
        <v>64577000</v>
      </c>
    </row>
    <row r="65">
      <c r="A65" s="47" t="s">
        <v>48</v>
      </c>
      <c r="B65" s="48">
        <v>10500.0</v>
      </c>
      <c r="C65" s="48">
        <v>191717.0</v>
      </c>
      <c r="D65" s="47" t="s">
        <v>47</v>
      </c>
      <c r="E65" s="48">
        <v>65.237</v>
      </c>
      <c r="F65" s="49">
        <f t="shared" si="1"/>
        <v>65237000</v>
      </c>
    </row>
    <row r="66">
      <c r="A66" s="47" t="s">
        <v>49</v>
      </c>
      <c r="B66" s="48">
        <v>10000.0</v>
      </c>
      <c r="C66" s="48">
        <v>191717.0</v>
      </c>
      <c r="D66" s="47" t="s">
        <v>47</v>
      </c>
      <c r="E66" s="48">
        <v>64.597</v>
      </c>
      <c r="F66" s="49">
        <f t="shared" si="1"/>
        <v>64597000</v>
      </c>
    </row>
    <row r="67">
      <c r="A67" s="47" t="s">
        <v>42</v>
      </c>
      <c r="B67" s="48">
        <v>12000.0</v>
      </c>
      <c r="C67" s="48">
        <v>111347.0</v>
      </c>
      <c r="D67" s="47" t="s">
        <v>47</v>
      </c>
      <c r="E67" s="48">
        <v>65.337</v>
      </c>
      <c r="F67" s="49">
        <f t="shared" si="1"/>
        <v>65337000</v>
      </c>
    </row>
    <row r="68">
      <c r="A68" s="47" t="s">
        <v>44</v>
      </c>
      <c r="B68" s="48">
        <v>11500.0</v>
      </c>
      <c r="C68" s="48">
        <v>111347.0</v>
      </c>
      <c r="D68" s="47" t="s">
        <v>47</v>
      </c>
      <c r="E68" s="48">
        <v>65.307</v>
      </c>
      <c r="F68" s="49">
        <f t="shared" si="1"/>
        <v>65307000</v>
      </c>
    </row>
    <row r="69">
      <c r="A69" s="47" t="s">
        <v>46</v>
      </c>
      <c r="B69" s="48">
        <v>11000.0</v>
      </c>
      <c r="C69" s="48">
        <v>111347.0</v>
      </c>
      <c r="D69" s="47" t="s">
        <v>47</v>
      </c>
      <c r="E69" s="48">
        <v>65.617</v>
      </c>
      <c r="F69" s="49">
        <f t="shared" si="1"/>
        <v>65617000</v>
      </c>
    </row>
    <row r="70">
      <c r="A70" s="47" t="s">
        <v>48</v>
      </c>
      <c r="B70" s="48">
        <v>10500.0</v>
      </c>
      <c r="C70" s="48">
        <v>111347.0</v>
      </c>
      <c r="D70" s="47" t="s">
        <v>47</v>
      </c>
      <c r="E70" s="48">
        <v>65.817</v>
      </c>
      <c r="F70" s="49">
        <f t="shared" si="1"/>
        <v>65817000</v>
      </c>
    </row>
    <row r="71">
      <c r="A71" s="47" t="s">
        <v>49</v>
      </c>
      <c r="B71" s="48">
        <v>10000.0</v>
      </c>
      <c r="C71" s="48">
        <v>111347.0</v>
      </c>
      <c r="D71" s="47" t="s">
        <v>47</v>
      </c>
      <c r="E71" s="48">
        <v>64.907</v>
      </c>
      <c r="F71" s="49">
        <f t="shared" si="1"/>
        <v>64907000</v>
      </c>
    </row>
    <row r="72">
      <c r="A72" s="47" t="s">
        <v>42</v>
      </c>
      <c r="B72" s="48">
        <v>12000.0</v>
      </c>
      <c r="C72" s="48">
        <v>253607.0</v>
      </c>
      <c r="D72" s="47" t="s">
        <v>47</v>
      </c>
      <c r="E72" s="48">
        <v>65.077</v>
      </c>
      <c r="F72" s="49">
        <f t="shared" si="1"/>
        <v>65077000</v>
      </c>
    </row>
    <row r="73">
      <c r="A73" s="47" t="s">
        <v>44</v>
      </c>
      <c r="B73" s="48">
        <v>11500.0</v>
      </c>
      <c r="C73" s="48">
        <v>253607.0</v>
      </c>
      <c r="D73" s="47" t="s">
        <v>47</v>
      </c>
      <c r="E73" s="48">
        <v>65.187</v>
      </c>
      <c r="F73" s="49">
        <f t="shared" si="1"/>
        <v>65187000</v>
      </c>
    </row>
    <row r="74">
      <c r="A74" s="47" t="s">
        <v>46</v>
      </c>
      <c r="B74" s="48">
        <v>11000.0</v>
      </c>
      <c r="C74" s="48">
        <v>253607.0</v>
      </c>
      <c r="D74" s="47" t="s">
        <v>47</v>
      </c>
      <c r="E74" s="48">
        <v>65.927</v>
      </c>
      <c r="F74" s="49">
        <f t="shared" si="1"/>
        <v>65927000</v>
      </c>
    </row>
    <row r="75">
      <c r="A75" s="47" t="s">
        <v>48</v>
      </c>
      <c r="B75" s="48">
        <v>10500.0</v>
      </c>
      <c r="C75" s="48">
        <v>253607.0</v>
      </c>
      <c r="D75" s="47" t="s">
        <v>47</v>
      </c>
      <c r="E75" s="48">
        <v>64.887</v>
      </c>
      <c r="F75" s="49">
        <f t="shared" si="1"/>
        <v>64887000</v>
      </c>
    </row>
    <row r="76">
      <c r="A76" s="47" t="s">
        <v>49</v>
      </c>
      <c r="B76" s="48">
        <v>10000.0</v>
      </c>
      <c r="C76" s="48">
        <v>253607.0</v>
      </c>
      <c r="D76" s="47" t="s">
        <v>47</v>
      </c>
      <c r="E76" s="48">
        <v>66.007</v>
      </c>
      <c r="F76" s="49">
        <f t="shared" si="1"/>
        <v>66007000</v>
      </c>
    </row>
  </sheetData>
  <drawing r:id="rId2"/>
</worksheet>
</file>